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" state="visible" r:id="rId4"/>
    <sheet sheetId="2" name="План" state="visible" r:id="rId5"/>
    <sheet sheetId="3" name="Журнал" state="visible" r:id="rId6"/>
    <sheet sheetId="4" name="Справочники" state="visible" r:id="rId7"/>
  </sheets>
  <calcPr calcId="171027"/>
</workbook>
</file>

<file path=xl/sharedStrings.xml><?xml version="1.0" encoding="utf-8"?>
<sst xmlns="http://schemas.openxmlformats.org/spreadsheetml/2006/main" count="32" uniqueCount="30">
  <si>
    <t>Сводка</t>
  </si>
  <si>
    <t>Трекер финансовой независимости — живые формулы</t>
  </si>
  <si>
    <t>Месяцев до цели</t>
  </si>
  <si>
    <t>Целевая сумма</t>
  </si>
  <si>
    <t>Вклад в месяц</t>
  </si>
  <si>
    <t>Нужно добрать</t>
  </si>
  <si>
    <t>Лет до цели</t>
  </si>
  <si>
    <t>Сбережено сейчас</t>
  </si>
  <si>
    <t>Доходность</t>
  </si>
  <si>
    <t>Доля накоплений</t>
  </si>
  <si>
    <t>Параметры</t>
  </si>
  <si>
    <t>Синие ячейки — твой ввод</t>
  </si>
  <si>
    <t>Уже сбережено</t>
  </si>
  <si>
    <t>Доход в месяц</t>
  </si>
  <si>
    <t>Расходы в месяц</t>
  </si>
  <si>
    <t>Вклад в накопления (ежемесячно)</t>
  </si>
  <si>
    <t>Доходность вложений (% годовых)</t>
  </si>
  <si>
    <t>Месячная ставка</t>
  </si>
  <si>
    <t>см. Сводка</t>
  </si>
  <si>
    <t>Месяц</t>
  </si>
  <si>
    <t>Накопления (начало)</t>
  </si>
  <si>
    <t>+ Вклад</t>
  </si>
  <si>
    <t>+ Доход от инвестиций</t>
  </si>
  <si>
    <t>= Накопления (конец)</t>
  </si>
  <si>
    <t>До цели осталось</t>
  </si>
  <si>
    <t>Валюта</t>
  </si>
  <si>
    <t>Период</t>
  </si>
  <si>
    <t>₽</t>
  </si>
  <si>
    <t>месяц</t>
  </si>
  <si>
    <t>12% годовых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</si>
</sst>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-#,##0"/>
    <numFmt numFmtId="165" formatCode="#,##0.00&quot; ₽&quot;;[Red]-#,##0.00&quot; ₽&quot;"/>
    <numFmt numFmtId="166" formatCode="0.0%;[Red]-0.0%"/>
  </numFmts>
  <fonts count="7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9"/>
      <color rgb="FF667085"/>
      <name val="Calibri"/>
    </font>
    <font>
      <b/>
      <sz val="15"/>
      <color rgb="FF1F2A37"/>
      <name val="Calibri"/>
    </font>
    <font>
      <color rgb="FF0000FF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indent="1"/>
    </xf>
    <xf numFmtId="165" fontId="5" fillId="0" borderId="0" xfId="0" applyNumberFormat="1" applyFont="1"/>
    <xf numFmtId="166" fontId="5" fillId="0" borderId="0" xfId="0" applyNumberFormat="1" applyFont="1"/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color rgb="FF1F2A37"/>
      </font>
      <fill>
        <patternFill patternType="solid">
          <f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32" customHeight="1" spans="1:4" x14ac:dyDescent="0.25">
      <c r="A2" s="2" t="s">
        <v>1</v>
      </c>
      <c r="B2" s="2"/>
      <c r="C2" s="2"/>
      <c r="D2" s="2"/>
    </row>
    <row r="3" ht="26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ht="26" customHeight="1" spans="1:4" x14ac:dyDescent="0.25">
      <c r="A4" s="4" t="s">
        <v>6</v>
      </c>
      <c r="B4" s="5" t="s">
        <v>7</v>
      </c>
      <c r="C4" s="5" t="s">
        <v>8</v>
      </c>
      <c r="D4" s="5" t="s">
        <v>9</v>
      </c>
    </row>
    <row r="5" ht="30" customHeight="1" spans="1:4" x14ac:dyDescent="0.25">
      <c r="A5" s="6">
        <f>IF(IF('План'!$B$3&gt;='План'!$B$2,0,MATCH(0,'Журнал'!$F$2:$F$601,0))="",0,ROUND(IF('План'!$B$3&gt;='План'!$B$2,0,MATCH(0,'Журнал'!$F$2:$F$601,0))/12,1))</f>
      </c>
      <c r="B5" s="7">
        <f>'План'!$B$3</f>
      </c>
      <c r="C5" s="8">
        <f>'План'!$B$7</f>
      </c>
      <c r="D5" s="8">
        <f>IF('План'!$B$2=0,0,'План'!$B$3/'План'!$B$2)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8" customWidth="1"/>
  </cols>
  <sheetData>
    <row r="1" ht="28" customHeight="1" spans="1:2" x14ac:dyDescent="0.25">
      <c r="A1" s="9" t="s">
        <v>10</v>
      </c>
      <c r="B1" s="9"/>
    </row>
    <row r="2" ht="32" customHeight="1" spans="1:2" x14ac:dyDescent="0.25">
      <c r="A2" s="2" t="s">
        <v>11</v>
      </c>
      <c r="B2" s="2"/>
    </row>
    <row r="3" spans="1:2" x14ac:dyDescent="0.25">
      <c r="A3" t="s">
        <v>12</v>
      </c>
      <c r="B3" s="10">
        <v>0</v>
      </c>
    </row>
    <row r="4" spans="1:2" x14ac:dyDescent="0.25">
      <c r="A4" t="s">
        <v>13</v>
      </c>
      <c r="B4" s="10">
        <v>150000</v>
      </c>
    </row>
    <row r="5" spans="1:2" x14ac:dyDescent="0.25">
      <c r="A5" t="s">
        <v>14</v>
      </c>
      <c r="B5" s="10">
        <v>90000</v>
      </c>
    </row>
    <row r="6" spans="1:2" x14ac:dyDescent="0.25">
      <c r="A6" t="s">
        <v>15</v>
      </c>
      <c r="B6" s="10">
        <v>60000</v>
      </c>
    </row>
    <row r="7" spans="1:2" x14ac:dyDescent="0.25">
      <c r="A7" t="s">
        <v>16</v>
      </c>
      <c r="B7" s="11">
        <v>12</v>
      </c>
    </row>
    <row r="9" spans="1:2" x14ac:dyDescent="0.25">
      <c r="A9" t="s">
        <v>17</v>
      </c>
      <c r="B9">
        <f>(1+'План'!$B$7)^(1/12)-1</f>
      </c>
    </row>
    <row r="10" spans="1:2" x14ac:dyDescent="0.25">
      <c r="A10" t="s">
        <v>2</v>
      </c>
      <c r="B10" t="s">
        <v>18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1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14" customWidth="1"/>
    <col min="4" max="5" width="22" customWidth="1"/>
    <col min="6" max="6" width="18" customWidth="1"/>
  </cols>
  <sheetData>
    <row r="1" spans="1:6" x14ac:dyDescent="0.25">
      <c r="A1" s="12" t="s">
        <v>19</v>
      </c>
      <c r="B1" s="12" t="s">
        <v>20</v>
      </c>
      <c r="C1" s="12" t="s">
        <v>21</v>
      </c>
      <c r="D1" s="12" t="s">
        <v>22</v>
      </c>
      <c r="E1" s="12" t="s">
        <v>23</v>
      </c>
      <c r="F1" s="12" t="s">
        <v>24</v>
      </c>
    </row>
    <row r="2" spans="1:6" x14ac:dyDescent="0.25">
      <c r="A2">
        <v>1</v>
      </c>
      <c r="B2">
        <f>'План'!$B$3</f>
      </c>
      <c r="C2">
        <f>IF('Журнал'!$B2="","",'План'!$B$6)</f>
      </c>
      <c r="D2">
        <f>IF('Журнал'!$B2="","",('Журнал'!$B2+'Журнал'!$C2)*'План'!$B$9)</f>
      </c>
      <c r="E2">
        <f>IF('Журнал'!$B2="","",'Журнал'!$B2+'Журнал'!$C2+'Журнал'!$D2)</f>
      </c>
      <c r="F2">
        <f>IF('Журнал'!$E2="","",MAX(0,'План'!$B$2-'Журнал'!$E2))</f>
      </c>
    </row>
    <row r="3" spans="1:6" x14ac:dyDescent="0.25">
      <c r="A3">
        <v>2</v>
      </c>
      <c r="B3">
        <f>IF('Журнал'!$E2="","",'Журнал'!$E2)</f>
      </c>
      <c r="C3">
        <f>IF('Журнал'!$B3="","",'План'!$B$6)</f>
      </c>
      <c r="D3">
        <f>IF('Журнал'!$B3="","",('Журнал'!$B3+'Журнал'!$C3)*'План'!$B$9)</f>
      </c>
      <c r="E3">
        <f>IF('Журнал'!$B3="","",'Журнал'!$B3+'Журнал'!$C3+'Журнал'!$D3)</f>
      </c>
      <c r="F3">
        <f>IF('Журнал'!$E3="","",MAX(0,'План'!$B$2-'Журнал'!$E3))</f>
      </c>
    </row>
    <row r="4" spans="1:6" x14ac:dyDescent="0.25">
      <c r="A4">
        <v>3</v>
      </c>
      <c r="B4">
        <f>IF('Журнал'!$E3="","",'Журнал'!$E3)</f>
      </c>
      <c r="C4">
        <f>IF('Журнал'!$B4="","",'План'!$B$6)</f>
      </c>
      <c r="D4">
        <f>IF('Журнал'!$B4="","",('Журнал'!$B4+'Журнал'!$C4)*'План'!$B$9)</f>
      </c>
      <c r="E4">
        <f>IF('Журнал'!$B4="","",'Журнал'!$B4+'Журнал'!$C4+'Журнал'!$D4)</f>
      </c>
      <c r="F4">
        <f>IF('Журнал'!$E4="","",MAX(0,'План'!$B$2-'Журнал'!$E4))</f>
      </c>
    </row>
    <row r="5" spans="1:6" x14ac:dyDescent="0.25">
      <c r="A5">
        <v>4</v>
      </c>
      <c r="B5">
        <f>IF('Журнал'!$E4="","",'Журнал'!$E4)</f>
      </c>
      <c r="C5">
        <f>IF('Журнал'!$B5="","",'План'!$B$6)</f>
      </c>
      <c r="D5">
        <f>IF('Журнал'!$B5="","",('Журнал'!$B5+'Журнал'!$C5)*'План'!$B$9)</f>
      </c>
      <c r="E5">
        <f>IF('Журнал'!$B5="","",'Журнал'!$B5+'Журнал'!$C5+'Журнал'!$D5)</f>
      </c>
      <c r="F5">
        <f>IF('Журнал'!$E5="","",MAX(0,'План'!$B$2-'Журнал'!$E5))</f>
      </c>
    </row>
    <row r="6" spans="1:6" x14ac:dyDescent="0.25">
      <c r="A6">
        <v>5</v>
      </c>
      <c r="B6">
        <f>IF('Журнал'!$E5="","",'Журнал'!$E5)</f>
      </c>
      <c r="C6">
        <f>IF('Журнал'!$B6="","",'План'!$B$6)</f>
      </c>
      <c r="D6">
        <f>IF('Журнал'!$B6="","",('Журнал'!$B6+'Журнал'!$C6)*'План'!$B$9)</f>
      </c>
      <c r="E6">
        <f>IF('Журнал'!$B6="","",'Журнал'!$B6+'Журнал'!$C6+'Журнал'!$D6)</f>
      </c>
      <c r="F6">
        <f>IF('Журнал'!$E6="","",MAX(0,'План'!$B$2-'Журнал'!$E6))</f>
      </c>
    </row>
    <row r="7" spans="1:6" x14ac:dyDescent="0.25">
      <c r="A7">
        <v>6</v>
      </c>
      <c r="B7">
        <f>IF('Журнал'!$E6="","",'Журнал'!$E6)</f>
      </c>
      <c r="C7">
        <f>IF('Журнал'!$B7="","",'План'!$B$6)</f>
      </c>
      <c r="D7">
        <f>IF('Журнал'!$B7="","",('Журнал'!$B7+'Журнал'!$C7)*'План'!$B$9)</f>
      </c>
      <c r="E7">
        <f>IF('Журнал'!$B7="","",'Журнал'!$B7+'Журнал'!$C7+'Журнал'!$D7)</f>
      </c>
      <c r="F7">
        <f>IF('Журнал'!$E7="","",MAX(0,'План'!$B$2-'Журнал'!$E7))</f>
      </c>
    </row>
    <row r="8" spans="1:6" x14ac:dyDescent="0.25">
      <c r="A8">
        <v>7</v>
      </c>
      <c r="B8">
        <f>IF('Журнал'!$E7="","",'Журнал'!$E7)</f>
      </c>
      <c r="C8">
        <f>IF('Журнал'!$B8="","",'План'!$B$6)</f>
      </c>
      <c r="D8">
        <f>IF('Журнал'!$B8="","",('Журнал'!$B8+'Журнал'!$C8)*'План'!$B$9)</f>
      </c>
      <c r="E8">
        <f>IF('Журнал'!$B8="","",'Журнал'!$B8+'Журнал'!$C8+'Журнал'!$D8)</f>
      </c>
      <c r="F8">
        <f>IF('Журнал'!$E8="","",MAX(0,'План'!$B$2-'Журнал'!$E8))</f>
      </c>
    </row>
    <row r="9" spans="1:6" x14ac:dyDescent="0.25">
      <c r="A9">
        <v>8</v>
      </c>
      <c r="B9">
        <f>IF('Журнал'!$E8="","",'Журнал'!$E8)</f>
      </c>
      <c r="C9">
        <f>IF('Журнал'!$B9="","",'План'!$B$6)</f>
      </c>
      <c r="D9">
        <f>IF('Журнал'!$B9="","",('Журнал'!$B9+'Журнал'!$C9)*'План'!$B$9)</f>
      </c>
      <c r="E9">
        <f>IF('Журнал'!$B9="","",'Журнал'!$B9+'Журнал'!$C9+'Журнал'!$D9)</f>
      </c>
      <c r="F9">
        <f>IF('Журнал'!$E9="","",MAX(0,'План'!$B$2-'Журнал'!$E9))</f>
      </c>
    </row>
    <row r="10" spans="1:6" x14ac:dyDescent="0.25">
      <c r="A10">
        <v>9</v>
      </c>
      <c r="B10">
        <f>IF('Журнал'!$E9="","",'Журнал'!$E9)</f>
      </c>
      <c r="C10">
        <f>IF('Журнал'!$B10="","",'План'!$B$6)</f>
      </c>
      <c r="D10">
        <f>IF('Журнал'!$B10="","",('Журнал'!$B10+'Журнал'!$C10)*'План'!$B$9)</f>
      </c>
      <c r="E10">
        <f>IF('Журнал'!$B10="","",'Журнал'!$B10+'Журнал'!$C10+'Журнал'!$D10)</f>
      </c>
      <c r="F10">
        <f>IF('Журнал'!$E10="","",MAX(0,'План'!$B$2-'Журнал'!$E10))</f>
      </c>
    </row>
    <row r="11" spans="1:6" x14ac:dyDescent="0.25">
      <c r="A11">
        <v>10</v>
      </c>
      <c r="B11">
        <f>IF('Журнал'!$E10="","",'Журнал'!$E10)</f>
      </c>
      <c r="C11">
        <f>IF('Журнал'!$B11="","",'План'!$B$6)</f>
      </c>
      <c r="D11">
        <f>IF('Журнал'!$B11="","",('Журнал'!$B11+'Журнал'!$C11)*'План'!$B$9)</f>
      </c>
      <c r="E11">
        <f>IF('Журнал'!$B11="","",'Журнал'!$B11+'Журнал'!$C11+'Журнал'!$D11)</f>
      </c>
      <c r="F11">
        <f>IF('Журнал'!$E11="","",MAX(0,'План'!$B$2-'Журнал'!$E11))</f>
      </c>
    </row>
    <row r="12" spans="1:6" x14ac:dyDescent="0.25">
      <c r="A12">
        <v>11</v>
      </c>
      <c r="B12">
        <f>IF('Журнал'!$E11="","",'Журнал'!$E11)</f>
      </c>
      <c r="C12">
        <f>IF('Журнал'!$B12="","",'План'!$B$6)</f>
      </c>
      <c r="D12">
        <f>IF('Журнал'!$B12="","",('Журнал'!$B12+'Журнал'!$C12)*'План'!$B$9)</f>
      </c>
      <c r="E12">
        <f>IF('Журнал'!$B12="","",'Журнал'!$B12+'Журнал'!$C12+'Журнал'!$D12)</f>
      </c>
      <c r="F12">
        <f>IF('Журнал'!$E12="","",MAX(0,'План'!$B$2-'Журнал'!$E12))</f>
      </c>
    </row>
    <row r="13" spans="1:6" x14ac:dyDescent="0.25">
      <c r="A13">
        <v>12</v>
      </c>
      <c r="B13">
        <f>IF('Журнал'!$E12="","",'Журнал'!$E12)</f>
      </c>
      <c r="C13">
        <f>IF('Журнал'!$B13="","",'План'!$B$6)</f>
      </c>
      <c r="D13">
        <f>IF('Журнал'!$B13="","",('Журнал'!$B13+'Журнал'!$C13)*'План'!$B$9)</f>
      </c>
      <c r="E13">
        <f>IF('Журнал'!$B13="","",'Журнал'!$B13+'Журнал'!$C13+'Журнал'!$D13)</f>
      </c>
      <c r="F13">
        <f>IF('Журнал'!$E13="","",MAX(0,'План'!$B$2-'Журнал'!$E13))</f>
      </c>
    </row>
    <row r="14" spans="1:6" x14ac:dyDescent="0.25">
      <c r="A14">
        <v>13</v>
      </c>
      <c r="B14">
        <f>IF('Журнал'!$E13="","",'Журнал'!$E13)</f>
      </c>
      <c r="C14">
        <f>IF('Журнал'!$B14="","",'План'!$B$6)</f>
      </c>
      <c r="D14">
        <f>IF('Журнал'!$B14="","",('Журнал'!$B14+'Журнал'!$C14)*'План'!$B$9)</f>
      </c>
      <c r="E14">
        <f>IF('Журнал'!$B14="","",'Журнал'!$B14+'Журнал'!$C14+'Журнал'!$D14)</f>
      </c>
      <c r="F14">
        <f>IF('Журнал'!$E14="","",MAX(0,'План'!$B$2-'Журнал'!$E14))</f>
      </c>
    </row>
    <row r="15" spans="1:6" x14ac:dyDescent="0.25">
      <c r="A15">
        <v>14</v>
      </c>
      <c r="B15">
        <f>IF('Журнал'!$E14="","",'Журнал'!$E14)</f>
      </c>
      <c r="C15">
        <f>IF('Журнал'!$B15="","",'План'!$B$6)</f>
      </c>
      <c r="D15">
        <f>IF('Журнал'!$B15="","",('Журнал'!$B15+'Журнал'!$C15)*'План'!$B$9)</f>
      </c>
      <c r="E15">
        <f>IF('Журнал'!$B15="","",'Журнал'!$B15+'Журнал'!$C15+'Журнал'!$D15)</f>
      </c>
      <c r="F15">
        <f>IF('Журнал'!$E15="","",MAX(0,'План'!$B$2-'Журнал'!$E15))</f>
      </c>
    </row>
    <row r="16" spans="1:6" x14ac:dyDescent="0.25">
      <c r="A16">
        <v>15</v>
      </c>
      <c r="B16">
        <f>IF('Журнал'!$E15="","",'Журнал'!$E15)</f>
      </c>
      <c r="C16">
        <f>IF('Журнал'!$B16="","",'План'!$B$6)</f>
      </c>
      <c r="D16">
        <f>IF('Журнал'!$B16="","",('Журнал'!$B16+'Журнал'!$C16)*'План'!$B$9)</f>
      </c>
      <c r="E16">
        <f>IF('Журнал'!$B16="","",'Журнал'!$B16+'Журнал'!$C16+'Журнал'!$D16)</f>
      </c>
      <c r="F16">
        <f>IF('Журнал'!$E16="","",MAX(0,'План'!$B$2-'Журнал'!$E16))</f>
      </c>
    </row>
    <row r="17" spans="1:6" x14ac:dyDescent="0.25">
      <c r="A17">
        <v>16</v>
      </c>
      <c r="B17">
        <f>IF('Журнал'!$E16="","",'Журнал'!$E16)</f>
      </c>
      <c r="C17">
        <f>IF('Журнал'!$B17="","",'План'!$B$6)</f>
      </c>
      <c r="D17">
        <f>IF('Журнал'!$B17="","",('Журнал'!$B17+'Журнал'!$C17)*'План'!$B$9)</f>
      </c>
      <c r="E17">
        <f>IF('Журнал'!$B17="","",'Журнал'!$B17+'Журнал'!$C17+'Журнал'!$D17)</f>
      </c>
      <c r="F17">
        <f>IF('Журнал'!$E17="","",MAX(0,'План'!$B$2-'Журнал'!$E17))</f>
      </c>
    </row>
    <row r="18" spans="1:6" x14ac:dyDescent="0.25">
      <c r="A18">
        <v>17</v>
      </c>
      <c r="B18">
        <f>IF('Журнал'!$E17="","",'Журнал'!$E17)</f>
      </c>
      <c r="C18">
        <f>IF('Журнал'!$B18="","",'План'!$B$6)</f>
      </c>
      <c r="D18">
        <f>IF('Журнал'!$B18="","",('Журнал'!$B18+'Журнал'!$C18)*'План'!$B$9)</f>
      </c>
      <c r="E18">
        <f>IF('Журнал'!$B18="","",'Журнал'!$B18+'Журнал'!$C18+'Журнал'!$D18)</f>
      </c>
      <c r="F18">
        <f>IF('Журнал'!$E18="","",MAX(0,'План'!$B$2-'Журнал'!$E18))</f>
      </c>
    </row>
    <row r="19" spans="1:6" x14ac:dyDescent="0.25">
      <c r="A19">
        <v>18</v>
      </c>
      <c r="B19">
        <f>IF('Журнал'!$E18="","",'Журнал'!$E18)</f>
      </c>
      <c r="C19">
        <f>IF('Журнал'!$B19="","",'План'!$B$6)</f>
      </c>
      <c r="D19">
        <f>IF('Журнал'!$B19="","",('Журнал'!$B19+'Журнал'!$C19)*'План'!$B$9)</f>
      </c>
      <c r="E19">
        <f>IF('Журнал'!$B19="","",'Журнал'!$B19+'Журнал'!$C19+'Журнал'!$D19)</f>
      </c>
      <c r="F19">
        <f>IF('Журнал'!$E19="","",MAX(0,'План'!$B$2-'Журнал'!$E19))</f>
      </c>
    </row>
    <row r="20" spans="1:6" x14ac:dyDescent="0.25">
      <c r="A20">
        <v>19</v>
      </c>
      <c r="B20">
        <f>IF('Журнал'!$E19="","",'Журнал'!$E19)</f>
      </c>
      <c r="C20">
        <f>IF('Журнал'!$B20="","",'План'!$B$6)</f>
      </c>
      <c r="D20">
        <f>IF('Журнал'!$B20="","",('Журнал'!$B20+'Журнал'!$C20)*'План'!$B$9)</f>
      </c>
      <c r="E20">
        <f>IF('Журнал'!$B20="","",'Журнал'!$B20+'Журнал'!$C20+'Журнал'!$D20)</f>
      </c>
      <c r="F20">
        <f>IF('Журнал'!$E20="","",MAX(0,'План'!$B$2-'Журнал'!$E20))</f>
      </c>
    </row>
    <row r="21" spans="1:6" x14ac:dyDescent="0.25">
      <c r="A21">
        <v>20</v>
      </c>
      <c r="B21">
        <f>IF('Журнал'!$E20="","",'Журнал'!$E20)</f>
      </c>
      <c r="C21">
        <f>IF('Журнал'!$B21="","",'План'!$B$6)</f>
      </c>
      <c r="D21">
        <f>IF('Журнал'!$B21="","",('Журнал'!$B21+'Журнал'!$C21)*'План'!$B$9)</f>
      </c>
      <c r="E21">
        <f>IF('Журнал'!$B21="","",'Журнал'!$B21+'Журнал'!$C21+'Журнал'!$D21)</f>
      </c>
      <c r="F21">
        <f>IF('Журнал'!$E21="","",MAX(0,'План'!$B$2-'Журнал'!$E21))</f>
      </c>
    </row>
    <row r="22" spans="1:6" x14ac:dyDescent="0.25">
      <c r="A22">
        <v>21</v>
      </c>
      <c r="B22">
        <f>IF('Журнал'!$E21="","",'Журнал'!$E21)</f>
      </c>
      <c r="C22">
        <f>IF('Журнал'!$B22="","",'План'!$B$6)</f>
      </c>
      <c r="D22">
        <f>IF('Журнал'!$B22="","",('Журнал'!$B22+'Журнал'!$C22)*'План'!$B$9)</f>
      </c>
      <c r="E22">
        <f>IF('Журнал'!$B22="","",'Журнал'!$B22+'Журнал'!$C22+'Журнал'!$D22)</f>
      </c>
      <c r="F22">
        <f>IF('Журнал'!$E22="","",MAX(0,'План'!$B$2-'Журнал'!$E22))</f>
      </c>
    </row>
    <row r="23" spans="1:6" x14ac:dyDescent="0.25">
      <c r="A23">
        <v>22</v>
      </c>
      <c r="B23">
        <f>IF('Журнал'!$E22="","",'Журнал'!$E22)</f>
      </c>
      <c r="C23">
        <f>IF('Журнал'!$B23="","",'План'!$B$6)</f>
      </c>
      <c r="D23">
        <f>IF('Журнал'!$B23="","",('Журнал'!$B23+'Журнал'!$C23)*'План'!$B$9)</f>
      </c>
      <c r="E23">
        <f>IF('Журнал'!$B23="","",'Журнал'!$B23+'Журнал'!$C23+'Журнал'!$D23)</f>
      </c>
      <c r="F23">
        <f>IF('Журнал'!$E23="","",MAX(0,'План'!$B$2-'Журнал'!$E23))</f>
      </c>
    </row>
    <row r="24" spans="1:6" x14ac:dyDescent="0.25">
      <c r="A24">
        <v>23</v>
      </c>
      <c r="B24">
        <f>IF('Журнал'!$E23="","",'Журнал'!$E23)</f>
      </c>
      <c r="C24">
        <f>IF('Журнал'!$B24="","",'План'!$B$6)</f>
      </c>
      <c r="D24">
        <f>IF('Журнал'!$B24="","",('Журнал'!$B24+'Журнал'!$C24)*'План'!$B$9)</f>
      </c>
      <c r="E24">
        <f>IF('Журнал'!$B24="","",'Журнал'!$B24+'Журнал'!$C24+'Журнал'!$D24)</f>
      </c>
      <c r="F24">
        <f>IF('Журнал'!$E24="","",MAX(0,'План'!$B$2-'Журнал'!$E24))</f>
      </c>
    </row>
    <row r="25" spans="1:6" x14ac:dyDescent="0.25">
      <c r="A25">
        <v>24</v>
      </c>
      <c r="B25">
        <f>IF('Журнал'!$E24="","",'Журнал'!$E24)</f>
      </c>
      <c r="C25">
        <f>IF('Журнал'!$B25="","",'План'!$B$6)</f>
      </c>
      <c r="D25">
        <f>IF('Журнал'!$B25="","",('Журнал'!$B25+'Журнал'!$C25)*'План'!$B$9)</f>
      </c>
      <c r="E25">
        <f>IF('Журнал'!$B25="","",'Журнал'!$B25+'Журнал'!$C25+'Журнал'!$D25)</f>
      </c>
      <c r="F25">
        <f>IF('Журнал'!$E25="","",MAX(0,'План'!$B$2-'Журнал'!$E25))</f>
      </c>
    </row>
    <row r="26" spans="1:6" x14ac:dyDescent="0.25">
      <c r="A26">
        <v>25</v>
      </c>
      <c r="B26">
        <f>IF('Журнал'!$E25="","",'Журнал'!$E25)</f>
      </c>
      <c r="C26">
        <f>IF('Журнал'!$B26="","",'План'!$B$6)</f>
      </c>
      <c r="D26">
        <f>IF('Журнал'!$B26="","",('Журнал'!$B26+'Журнал'!$C26)*'План'!$B$9)</f>
      </c>
      <c r="E26">
        <f>IF('Журнал'!$B26="","",'Журнал'!$B26+'Журнал'!$C26+'Журнал'!$D26)</f>
      </c>
      <c r="F26">
        <f>IF('Журнал'!$E26="","",MAX(0,'План'!$B$2-'Журнал'!$E26))</f>
      </c>
    </row>
    <row r="27" spans="1:6" x14ac:dyDescent="0.25">
      <c r="A27">
        <v>26</v>
      </c>
      <c r="B27">
        <f>IF('Журнал'!$E26="","",'Журнал'!$E26)</f>
      </c>
      <c r="C27">
        <f>IF('Журнал'!$B27="","",'План'!$B$6)</f>
      </c>
      <c r="D27">
        <f>IF('Журнал'!$B27="","",('Журнал'!$B27+'Журнал'!$C27)*'План'!$B$9)</f>
      </c>
      <c r="E27">
        <f>IF('Журнал'!$B27="","",'Журнал'!$B27+'Журнал'!$C27+'Журнал'!$D27)</f>
      </c>
      <c r="F27">
        <f>IF('Журнал'!$E27="","",MAX(0,'План'!$B$2-'Журнал'!$E27))</f>
      </c>
    </row>
    <row r="28" spans="1:6" x14ac:dyDescent="0.25">
      <c r="A28">
        <v>27</v>
      </c>
      <c r="B28">
        <f>IF('Журнал'!$E27="","",'Журнал'!$E27)</f>
      </c>
      <c r="C28">
        <f>IF('Журнал'!$B28="","",'План'!$B$6)</f>
      </c>
      <c r="D28">
        <f>IF('Журнал'!$B28="","",('Журнал'!$B28+'Журнал'!$C28)*'План'!$B$9)</f>
      </c>
      <c r="E28">
        <f>IF('Журнал'!$B28="","",'Журнал'!$B28+'Журнал'!$C28+'Журнал'!$D28)</f>
      </c>
      <c r="F28">
        <f>IF('Журнал'!$E28="","",MAX(0,'План'!$B$2-'Журнал'!$E28))</f>
      </c>
    </row>
    <row r="29" spans="1:6" x14ac:dyDescent="0.25">
      <c r="A29">
        <v>28</v>
      </c>
      <c r="B29">
        <f>IF('Журнал'!$E28="","",'Журнал'!$E28)</f>
      </c>
      <c r="C29">
        <f>IF('Журнал'!$B29="","",'План'!$B$6)</f>
      </c>
      <c r="D29">
        <f>IF('Журнал'!$B29="","",('Журнал'!$B29+'Журнал'!$C29)*'План'!$B$9)</f>
      </c>
      <c r="E29">
        <f>IF('Журнал'!$B29="","",'Журнал'!$B29+'Журнал'!$C29+'Журнал'!$D29)</f>
      </c>
      <c r="F29">
        <f>IF('Журнал'!$E29="","",MAX(0,'План'!$B$2-'Журнал'!$E29))</f>
      </c>
    </row>
    <row r="30" spans="1:6" x14ac:dyDescent="0.25">
      <c r="A30">
        <v>29</v>
      </c>
      <c r="B30">
        <f>IF('Журнал'!$E29="","",'Журнал'!$E29)</f>
      </c>
      <c r="C30">
        <f>IF('Журнал'!$B30="","",'План'!$B$6)</f>
      </c>
      <c r="D30">
        <f>IF('Журнал'!$B30="","",('Журнал'!$B30+'Журнал'!$C30)*'План'!$B$9)</f>
      </c>
      <c r="E30">
        <f>IF('Журнал'!$B30="","",'Журнал'!$B30+'Журнал'!$C30+'Журнал'!$D30)</f>
      </c>
      <c r="F30">
        <f>IF('Журнал'!$E30="","",MAX(0,'План'!$B$2-'Журнал'!$E30))</f>
      </c>
    </row>
    <row r="31" spans="1:6" x14ac:dyDescent="0.25">
      <c r="A31">
        <v>30</v>
      </c>
      <c r="B31">
        <f>IF('Журнал'!$E30="","",'Журнал'!$E30)</f>
      </c>
      <c r="C31">
        <f>IF('Журнал'!$B31="","",'План'!$B$6)</f>
      </c>
      <c r="D31">
        <f>IF('Журнал'!$B31="","",('Журнал'!$B31+'Журнал'!$C31)*'План'!$B$9)</f>
      </c>
      <c r="E31">
        <f>IF('Журнал'!$B31="","",'Журнал'!$B31+'Журнал'!$C31+'Журнал'!$D31)</f>
      </c>
      <c r="F31">
        <f>IF('Журнал'!$E31="","",MAX(0,'План'!$B$2-'Журнал'!$E31))</f>
      </c>
    </row>
    <row r="32" spans="1:6" x14ac:dyDescent="0.25">
      <c r="A32">
        <v>31</v>
      </c>
      <c r="B32">
        <f>IF('Журнал'!$E31="","",'Журнал'!$E31)</f>
      </c>
      <c r="C32">
        <f>IF('Журнал'!$B32="","",'План'!$B$6)</f>
      </c>
      <c r="D32">
        <f>IF('Журнал'!$B32="","",('Журнал'!$B32+'Журнал'!$C32)*'План'!$B$9)</f>
      </c>
      <c r="E32">
        <f>IF('Журнал'!$B32="","",'Журнал'!$B32+'Журнал'!$C32+'Журнал'!$D32)</f>
      </c>
      <c r="F32">
        <f>IF('Журнал'!$E32="","",MAX(0,'План'!$B$2-'Журнал'!$E32))</f>
      </c>
    </row>
    <row r="33" spans="1:6" x14ac:dyDescent="0.25">
      <c r="A33">
        <v>32</v>
      </c>
      <c r="B33">
        <f>IF('Журнал'!$E32="","",'Журнал'!$E32)</f>
      </c>
      <c r="C33">
        <f>IF('Журнал'!$B33="","",'План'!$B$6)</f>
      </c>
      <c r="D33">
        <f>IF('Журнал'!$B33="","",('Журнал'!$B33+'Журнал'!$C33)*'План'!$B$9)</f>
      </c>
      <c r="E33">
        <f>IF('Журнал'!$B33="","",'Журнал'!$B33+'Журнал'!$C33+'Журнал'!$D33)</f>
      </c>
      <c r="F33">
        <f>IF('Журнал'!$E33="","",MAX(0,'План'!$B$2-'Журнал'!$E33))</f>
      </c>
    </row>
    <row r="34" spans="1:6" x14ac:dyDescent="0.25">
      <c r="A34">
        <v>33</v>
      </c>
      <c r="B34">
        <f>IF('Журнал'!$E33="","",'Журнал'!$E33)</f>
      </c>
      <c r="C34">
        <f>IF('Журнал'!$B34="","",'План'!$B$6)</f>
      </c>
      <c r="D34">
        <f>IF('Журнал'!$B34="","",('Журнал'!$B34+'Журнал'!$C34)*'План'!$B$9)</f>
      </c>
      <c r="E34">
        <f>IF('Журнал'!$B34="","",'Журнал'!$B34+'Журнал'!$C34+'Журнал'!$D34)</f>
      </c>
      <c r="F34">
        <f>IF('Журнал'!$E34="","",MAX(0,'План'!$B$2-'Журнал'!$E34))</f>
      </c>
    </row>
    <row r="35" spans="1:6" x14ac:dyDescent="0.25">
      <c r="A35">
        <v>34</v>
      </c>
      <c r="B35">
        <f>IF('Журнал'!$E34="","",'Журнал'!$E34)</f>
      </c>
      <c r="C35">
        <f>IF('Журнал'!$B35="","",'План'!$B$6)</f>
      </c>
      <c r="D35">
        <f>IF('Журнал'!$B35="","",('Журнал'!$B35+'Журнал'!$C35)*'План'!$B$9)</f>
      </c>
      <c r="E35">
        <f>IF('Журнал'!$B35="","",'Журнал'!$B35+'Журнал'!$C35+'Журнал'!$D35)</f>
      </c>
      <c r="F35">
        <f>IF('Журнал'!$E35="","",MAX(0,'План'!$B$2-'Журнал'!$E35))</f>
      </c>
    </row>
    <row r="36" spans="1:6" x14ac:dyDescent="0.25">
      <c r="A36">
        <v>35</v>
      </c>
      <c r="B36">
        <f>IF('Журнал'!$E35="","",'Журнал'!$E35)</f>
      </c>
      <c r="C36">
        <f>IF('Журнал'!$B36="","",'План'!$B$6)</f>
      </c>
      <c r="D36">
        <f>IF('Журнал'!$B36="","",('Журнал'!$B36+'Журнал'!$C36)*'План'!$B$9)</f>
      </c>
      <c r="E36">
        <f>IF('Журнал'!$B36="","",'Журнал'!$B36+'Журнал'!$C36+'Журнал'!$D36)</f>
      </c>
      <c r="F36">
        <f>IF('Журнал'!$E36="","",MAX(0,'План'!$B$2-'Журнал'!$E36))</f>
      </c>
    </row>
    <row r="37" spans="1:6" x14ac:dyDescent="0.25">
      <c r="A37">
        <v>36</v>
      </c>
      <c r="B37">
        <f>IF('Журнал'!$E36="","",'Журнал'!$E36)</f>
      </c>
      <c r="C37">
        <f>IF('Журнал'!$B37="","",'План'!$B$6)</f>
      </c>
      <c r="D37">
        <f>IF('Журнал'!$B37="","",('Журнал'!$B37+'Журнал'!$C37)*'План'!$B$9)</f>
      </c>
      <c r="E37">
        <f>IF('Журнал'!$B37="","",'Журнал'!$B37+'Журнал'!$C37+'Журнал'!$D37)</f>
      </c>
      <c r="F37">
        <f>IF('Журнал'!$E37="","",MAX(0,'План'!$B$2-'Журнал'!$E37))</f>
      </c>
    </row>
    <row r="38" spans="1:6" x14ac:dyDescent="0.25">
      <c r="A38">
        <v>37</v>
      </c>
      <c r="B38">
        <f>IF('Журнал'!$E37="","",'Журнал'!$E37)</f>
      </c>
      <c r="C38">
        <f>IF('Журнал'!$B38="","",'План'!$B$6)</f>
      </c>
      <c r="D38">
        <f>IF('Журнал'!$B38="","",('Журнал'!$B38+'Журнал'!$C38)*'План'!$B$9)</f>
      </c>
      <c r="E38">
        <f>IF('Журнал'!$B38="","",'Журнал'!$B38+'Журнал'!$C38+'Журнал'!$D38)</f>
      </c>
      <c r="F38">
        <f>IF('Журнал'!$E38="","",MAX(0,'План'!$B$2-'Журнал'!$E38))</f>
      </c>
    </row>
    <row r="39" spans="1:6" x14ac:dyDescent="0.25">
      <c r="A39">
        <v>38</v>
      </c>
      <c r="B39">
        <f>IF('Журнал'!$E38="","",'Журнал'!$E38)</f>
      </c>
      <c r="C39">
        <f>IF('Журнал'!$B39="","",'План'!$B$6)</f>
      </c>
      <c r="D39">
        <f>IF('Журнал'!$B39="","",('Журнал'!$B39+'Журнал'!$C39)*'План'!$B$9)</f>
      </c>
      <c r="E39">
        <f>IF('Журнал'!$B39="","",'Журнал'!$B39+'Журнал'!$C39+'Журнал'!$D39)</f>
      </c>
      <c r="F39">
        <f>IF('Журнал'!$E39="","",MAX(0,'План'!$B$2-'Журнал'!$E39))</f>
      </c>
    </row>
    <row r="40" spans="1:6" x14ac:dyDescent="0.25">
      <c r="A40">
        <v>39</v>
      </c>
      <c r="B40">
        <f>IF('Журнал'!$E39="","",'Журнал'!$E39)</f>
      </c>
      <c r="C40">
        <f>IF('Журнал'!$B40="","",'План'!$B$6)</f>
      </c>
      <c r="D40">
        <f>IF('Журнал'!$B40="","",('Журнал'!$B40+'Журнал'!$C40)*'План'!$B$9)</f>
      </c>
      <c r="E40">
        <f>IF('Журнал'!$B40="","",'Журнал'!$B40+'Журнал'!$C40+'Журнал'!$D40)</f>
      </c>
      <c r="F40">
        <f>IF('Журнал'!$E40="","",MAX(0,'План'!$B$2-'Журнал'!$E40))</f>
      </c>
    </row>
    <row r="41" spans="1:6" x14ac:dyDescent="0.25">
      <c r="A41">
        <v>40</v>
      </c>
      <c r="B41">
        <f>IF('Журнал'!$E40="","",'Журнал'!$E40)</f>
      </c>
      <c r="C41">
        <f>IF('Журнал'!$B41="","",'План'!$B$6)</f>
      </c>
      <c r="D41">
        <f>IF('Журнал'!$B41="","",('Журнал'!$B41+'Журнал'!$C41)*'План'!$B$9)</f>
      </c>
      <c r="E41">
        <f>IF('Журнал'!$B41="","",'Журнал'!$B41+'Журнал'!$C41+'Журнал'!$D41)</f>
      </c>
      <c r="F41">
        <f>IF('Журнал'!$E41="","",MAX(0,'План'!$B$2-'Журнал'!$E41))</f>
      </c>
    </row>
    <row r="42" spans="1:6" x14ac:dyDescent="0.25">
      <c r="A42">
        <v>41</v>
      </c>
      <c r="B42">
        <f>IF('Журнал'!$E41="","",'Журнал'!$E41)</f>
      </c>
      <c r="C42">
        <f>IF('Журнал'!$B42="","",'План'!$B$6)</f>
      </c>
      <c r="D42">
        <f>IF('Журнал'!$B42="","",('Журнал'!$B42+'Журнал'!$C42)*'План'!$B$9)</f>
      </c>
      <c r="E42">
        <f>IF('Журнал'!$B42="","",'Журнал'!$B42+'Журнал'!$C42+'Журнал'!$D42)</f>
      </c>
      <c r="F42">
        <f>IF('Журнал'!$E42="","",MAX(0,'План'!$B$2-'Журнал'!$E42))</f>
      </c>
    </row>
    <row r="43" spans="1:6" x14ac:dyDescent="0.25">
      <c r="A43">
        <v>42</v>
      </c>
      <c r="B43">
        <f>IF('Журнал'!$E42="","",'Журнал'!$E42)</f>
      </c>
      <c r="C43">
        <f>IF('Журнал'!$B43="","",'План'!$B$6)</f>
      </c>
      <c r="D43">
        <f>IF('Журнал'!$B43="","",('Журнал'!$B43+'Журнал'!$C43)*'План'!$B$9)</f>
      </c>
      <c r="E43">
        <f>IF('Журнал'!$B43="","",'Журнал'!$B43+'Журнал'!$C43+'Журнал'!$D43)</f>
      </c>
      <c r="F43">
        <f>IF('Журнал'!$E43="","",MAX(0,'План'!$B$2-'Журнал'!$E43))</f>
      </c>
    </row>
    <row r="44" spans="1:6" x14ac:dyDescent="0.25">
      <c r="A44">
        <v>43</v>
      </c>
      <c r="B44">
        <f>IF('Журнал'!$E43="","",'Журнал'!$E43)</f>
      </c>
      <c r="C44">
        <f>IF('Журнал'!$B44="","",'План'!$B$6)</f>
      </c>
      <c r="D44">
        <f>IF('Журнал'!$B44="","",('Журнал'!$B44+'Журнал'!$C44)*'План'!$B$9)</f>
      </c>
      <c r="E44">
        <f>IF('Журнал'!$B44="","",'Журнал'!$B44+'Журнал'!$C44+'Журнал'!$D44)</f>
      </c>
      <c r="F44">
        <f>IF('Журнал'!$E44="","",MAX(0,'План'!$B$2-'Журнал'!$E44))</f>
      </c>
    </row>
    <row r="45" spans="1:6" x14ac:dyDescent="0.25">
      <c r="A45">
        <v>44</v>
      </c>
      <c r="B45">
        <f>IF('Журнал'!$E44="","",'Журнал'!$E44)</f>
      </c>
      <c r="C45">
        <f>IF('Журнал'!$B45="","",'План'!$B$6)</f>
      </c>
      <c r="D45">
        <f>IF('Журнал'!$B45="","",('Журнал'!$B45+'Журнал'!$C45)*'План'!$B$9)</f>
      </c>
      <c r="E45">
        <f>IF('Журнал'!$B45="","",'Журнал'!$B45+'Журнал'!$C45+'Журнал'!$D45)</f>
      </c>
      <c r="F45">
        <f>IF('Журнал'!$E45="","",MAX(0,'План'!$B$2-'Журнал'!$E45))</f>
      </c>
    </row>
    <row r="46" spans="1:6" x14ac:dyDescent="0.25">
      <c r="A46">
        <v>45</v>
      </c>
      <c r="B46">
        <f>IF('Журнал'!$E45="","",'Журнал'!$E45)</f>
      </c>
      <c r="C46">
        <f>IF('Журнал'!$B46="","",'План'!$B$6)</f>
      </c>
      <c r="D46">
        <f>IF('Журнал'!$B46="","",('Журнал'!$B46+'Журнал'!$C46)*'План'!$B$9)</f>
      </c>
      <c r="E46">
        <f>IF('Журнал'!$B46="","",'Журнал'!$B46+'Журнал'!$C46+'Журнал'!$D46)</f>
      </c>
      <c r="F46">
        <f>IF('Журнал'!$E46="","",MAX(0,'План'!$B$2-'Журнал'!$E46))</f>
      </c>
    </row>
    <row r="47" spans="1:6" x14ac:dyDescent="0.25">
      <c r="A47">
        <v>46</v>
      </c>
      <c r="B47">
        <f>IF('Журнал'!$E46="","",'Журнал'!$E46)</f>
      </c>
      <c r="C47">
        <f>IF('Журнал'!$B47="","",'План'!$B$6)</f>
      </c>
      <c r="D47">
        <f>IF('Журнал'!$B47="","",('Журнал'!$B47+'Журнал'!$C47)*'План'!$B$9)</f>
      </c>
      <c r="E47">
        <f>IF('Журнал'!$B47="","",'Журнал'!$B47+'Журнал'!$C47+'Журнал'!$D47)</f>
      </c>
      <c r="F47">
        <f>IF('Журнал'!$E47="","",MAX(0,'План'!$B$2-'Журнал'!$E47))</f>
      </c>
    </row>
    <row r="48" spans="1:6" x14ac:dyDescent="0.25">
      <c r="A48">
        <v>47</v>
      </c>
      <c r="B48">
        <f>IF('Журнал'!$E47="","",'Журнал'!$E47)</f>
      </c>
      <c r="C48">
        <f>IF('Журнал'!$B48="","",'План'!$B$6)</f>
      </c>
      <c r="D48">
        <f>IF('Журнал'!$B48="","",('Журнал'!$B48+'Журнал'!$C48)*'План'!$B$9)</f>
      </c>
      <c r="E48">
        <f>IF('Журнал'!$B48="","",'Журнал'!$B48+'Журнал'!$C48+'Журнал'!$D48)</f>
      </c>
      <c r="F48">
        <f>IF('Журнал'!$E48="","",MAX(0,'План'!$B$2-'Журнал'!$E48))</f>
      </c>
    </row>
    <row r="49" spans="1:6" x14ac:dyDescent="0.25">
      <c r="A49">
        <v>48</v>
      </c>
      <c r="B49">
        <f>IF('Журнал'!$E48="","",'Журнал'!$E48)</f>
      </c>
      <c r="C49">
        <f>IF('Журнал'!$B49="","",'План'!$B$6)</f>
      </c>
      <c r="D49">
        <f>IF('Журнал'!$B49="","",('Журнал'!$B49+'Журнал'!$C49)*'План'!$B$9)</f>
      </c>
      <c r="E49">
        <f>IF('Журнал'!$B49="","",'Журнал'!$B49+'Журнал'!$C49+'Журнал'!$D49)</f>
      </c>
      <c r="F49">
        <f>IF('Журнал'!$E49="","",MAX(0,'План'!$B$2-'Журнал'!$E49))</f>
      </c>
    </row>
    <row r="50" spans="1:6" x14ac:dyDescent="0.25">
      <c r="A50">
        <v>49</v>
      </c>
      <c r="B50">
        <f>IF('Журнал'!$E49="","",'Журнал'!$E49)</f>
      </c>
      <c r="C50">
        <f>IF('Журнал'!$B50="","",'План'!$B$6)</f>
      </c>
      <c r="D50">
        <f>IF('Журнал'!$B50="","",('Журнал'!$B50+'Журнал'!$C50)*'План'!$B$9)</f>
      </c>
      <c r="E50">
        <f>IF('Журнал'!$B50="","",'Журнал'!$B50+'Журнал'!$C50+'Журнал'!$D50)</f>
      </c>
      <c r="F50">
        <f>IF('Журнал'!$E50="","",MAX(0,'План'!$B$2-'Журнал'!$E50))</f>
      </c>
    </row>
    <row r="51" spans="1:6" x14ac:dyDescent="0.25">
      <c r="A51">
        <v>50</v>
      </c>
      <c r="B51">
        <f>IF('Журнал'!$E50="","",'Журнал'!$E50)</f>
      </c>
      <c r="C51">
        <f>IF('Журнал'!$B51="","",'План'!$B$6)</f>
      </c>
      <c r="D51">
        <f>IF('Журнал'!$B51="","",('Журнал'!$B51+'Журнал'!$C51)*'План'!$B$9)</f>
      </c>
      <c r="E51">
        <f>IF('Журнал'!$B51="","",'Журнал'!$B51+'Журнал'!$C51+'Журнал'!$D51)</f>
      </c>
      <c r="F51">
        <f>IF('Журнал'!$E51="","",MAX(0,'План'!$B$2-'Журнал'!$E51))</f>
      </c>
    </row>
    <row r="52" spans="1:6" x14ac:dyDescent="0.25">
      <c r="A52">
        <v>51</v>
      </c>
      <c r="B52">
        <f>IF('Журнал'!$E51="","",'Журнал'!$E51)</f>
      </c>
      <c r="C52">
        <f>IF('Журнал'!$B52="","",'План'!$B$6)</f>
      </c>
      <c r="D52">
        <f>IF('Журнал'!$B52="","",('Журнал'!$B52+'Журнал'!$C52)*'План'!$B$9)</f>
      </c>
      <c r="E52">
        <f>IF('Журнал'!$B52="","",'Журнал'!$B52+'Журнал'!$C52+'Журнал'!$D52)</f>
      </c>
      <c r="F52">
        <f>IF('Журнал'!$E52="","",MAX(0,'План'!$B$2-'Журнал'!$E52))</f>
      </c>
    </row>
    <row r="53" spans="1:6" x14ac:dyDescent="0.25">
      <c r="A53">
        <v>52</v>
      </c>
      <c r="B53">
        <f>IF('Журнал'!$E52="","",'Журнал'!$E52)</f>
      </c>
      <c r="C53">
        <f>IF('Журнал'!$B53="","",'План'!$B$6)</f>
      </c>
      <c r="D53">
        <f>IF('Журнал'!$B53="","",('Журнал'!$B53+'Журнал'!$C53)*'План'!$B$9)</f>
      </c>
      <c r="E53">
        <f>IF('Журнал'!$B53="","",'Журнал'!$B53+'Журнал'!$C53+'Журнал'!$D53)</f>
      </c>
      <c r="F53">
        <f>IF('Журнал'!$E53="","",MAX(0,'План'!$B$2-'Журнал'!$E53))</f>
      </c>
    </row>
    <row r="54" spans="1:6" x14ac:dyDescent="0.25">
      <c r="A54">
        <v>53</v>
      </c>
      <c r="B54">
        <f>IF('Журнал'!$E53="","",'Журнал'!$E53)</f>
      </c>
      <c r="C54">
        <f>IF('Журнал'!$B54="","",'План'!$B$6)</f>
      </c>
      <c r="D54">
        <f>IF('Журнал'!$B54="","",('Журнал'!$B54+'Журнал'!$C54)*'План'!$B$9)</f>
      </c>
      <c r="E54">
        <f>IF('Журнал'!$B54="","",'Журнал'!$B54+'Журнал'!$C54+'Журнал'!$D54)</f>
      </c>
      <c r="F54">
        <f>IF('Журнал'!$E54="","",MAX(0,'План'!$B$2-'Журнал'!$E54))</f>
      </c>
    </row>
    <row r="55" spans="1:6" x14ac:dyDescent="0.25">
      <c r="A55">
        <v>54</v>
      </c>
      <c r="B55">
        <f>IF('Журнал'!$E54="","",'Журнал'!$E54)</f>
      </c>
      <c r="C55">
        <f>IF('Журнал'!$B55="","",'План'!$B$6)</f>
      </c>
      <c r="D55">
        <f>IF('Журнал'!$B55="","",('Журнал'!$B55+'Журнал'!$C55)*'План'!$B$9)</f>
      </c>
      <c r="E55">
        <f>IF('Журнал'!$B55="","",'Журнал'!$B55+'Журнал'!$C55+'Журнал'!$D55)</f>
      </c>
      <c r="F55">
        <f>IF('Журнал'!$E55="","",MAX(0,'План'!$B$2-'Журнал'!$E55))</f>
      </c>
    </row>
    <row r="56" spans="1:6" x14ac:dyDescent="0.25">
      <c r="A56">
        <v>55</v>
      </c>
      <c r="B56">
        <f>IF('Журнал'!$E55="","",'Журнал'!$E55)</f>
      </c>
      <c r="C56">
        <f>IF('Журнал'!$B56="","",'План'!$B$6)</f>
      </c>
      <c r="D56">
        <f>IF('Журнал'!$B56="","",('Журнал'!$B56+'Журнал'!$C56)*'План'!$B$9)</f>
      </c>
      <c r="E56">
        <f>IF('Журнал'!$B56="","",'Журнал'!$B56+'Журнал'!$C56+'Журнал'!$D56)</f>
      </c>
      <c r="F56">
        <f>IF('Журнал'!$E56="","",MAX(0,'План'!$B$2-'Журнал'!$E56))</f>
      </c>
    </row>
    <row r="57" spans="1:6" x14ac:dyDescent="0.25">
      <c r="A57">
        <v>56</v>
      </c>
      <c r="B57">
        <f>IF('Журнал'!$E56="","",'Журнал'!$E56)</f>
      </c>
      <c r="C57">
        <f>IF('Журнал'!$B57="","",'План'!$B$6)</f>
      </c>
      <c r="D57">
        <f>IF('Журнал'!$B57="","",('Журнал'!$B57+'Журнал'!$C57)*'План'!$B$9)</f>
      </c>
      <c r="E57">
        <f>IF('Журнал'!$B57="","",'Журнал'!$B57+'Журнал'!$C57+'Журнал'!$D57)</f>
      </c>
      <c r="F57">
        <f>IF('Журнал'!$E57="","",MAX(0,'План'!$B$2-'Журнал'!$E57))</f>
      </c>
    </row>
    <row r="58" spans="1:6" x14ac:dyDescent="0.25">
      <c r="A58">
        <v>57</v>
      </c>
      <c r="B58">
        <f>IF('Журнал'!$E57="","",'Журнал'!$E57)</f>
      </c>
      <c r="C58">
        <f>IF('Журнал'!$B58="","",'План'!$B$6)</f>
      </c>
      <c r="D58">
        <f>IF('Журнал'!$B58="","",('Журнал'!$B58+'Журнал'!$C58)*'План'!$B$9)</f>
      </c>
      <c r="E58">
        <f>IF('Журнал'!$B58="","",'Журнал'!$B58+'Журнал'!$C58+'Журнал'!$D58)</f>
      </c>
      <c r="F58">
        <f>IF('Журнал'!$E58="","",MAX(0,'План'!$B$2-'Журнал'!$E58))</f>
      </c>
    </row>
    <row r="59" spans="1:6" x14ac:dyDescent="0.25">
      <c r="A59">
        <v>58</v>
      </c>
      <c r="B59">
        <f>IF('Журнал'!$E58="","",'Журнал'!$E58)</f>
      </c>
      <c r="C59">
        <f>IF('Журнал'!$B59="","",'План'!$B$6)</f>
      </c>
      <c r="D59">
        <f>IF('Журнал'!$B59="","",('Журнал'!$B59+'Журнал'!$C59)*'План'!$B$9)</f>
      </c>
      <c r="E59">
        <f>IF('Журнал'!$B59="","",'Журнал'!$B59+'Журнал'!$C59+'Журнал'!$D59)</f>
      </c>
      <c r="F59">
        <f>IF('Журнал'!$E59="","",MAX(0,'План'!$B$2-'Журнал'!$E59))</f>
      </c>
    </row>
    <row r="60" spans="1:6" x14ac:dyDescent="0.25">
      <c r="A60">
        <v>59</v>
      </c>
      <c r="B60">
        <f>IF('Журнал'!$E59="","",'Журнал'!$E59)</f>
      </c>
      <c r="C60">
        <f>IF('Журнал'!$B60="","",'План'!$B$6)</f>
      </c>
      <c r="D60">
        <f>IF('Журнал'!$B60="","",('Журнал'!$B60+'Журнал'!$C60)*'План'!$B$9)</f>
      </c>
      <c r="E60">
        <f>IF('Журнал'!$B60="","",'Журнал'!$B60+'Журнал'!$C60+'Журнал'!$D60)</f>
      </c>
      <c r="F60">
        <f>IF('Журнал'!$E60="","",MAX(0,'План'!$B$2-'Журнал'!$E60))</f>
      </c>
    </row>
    <row r="61" spans="1:6" x14ac:dyDescent="0.25">
      <c r="A61">
        <v>60</v>
      </c>
      <c r="B61">
        <f>IF('Журнал'!$E60="","",'Журнал'!$E60)</f>
      </c>
      <c r="C61">
        <f>IF('Журнал'!$B61="","",'План'!$B$6)</f>
      </c>
      <c r="D61">
        <f>IF('Журнал'!$B61="","",('Журнал'!$B61+'Журнал'!$C61)*'План'!$B$9)</f>
      </c>
      <c r="E61">
        <f>IF('Журнал'!$B61="","",'Журнал'!$B61+'Журнал'!$C61+'Журнал'!$D61)</f>
      </c>
      <c r="F61">
        <f>IF('Журнал'!$E61="","",MAX(0,'План'!$B$2-'Журнал'!$E61))</f>
      </c>
    </row>
    <row r="62" spans="1:6" x14ac:dyDescent="0.25">
      <c r="A62">
        <v>61</v>
      </c>
      <c r="B62">
        <f>IF('Журнал'!$E61="","",'Журнал'!$E61)</f>
      </c>
      <c r="C62">
        <f>IF('Журнал'!$B62="","",'План'!$B$6)</f>
      </c>
      <c r="D62">
        <f>IF('Журнал'!$B62="","",('Журнал'!$B62+'Журнал'!$C62)*'План'!$B$9)</f>
      </c>
      <c r="E62">
        <f>IF('Журнал'!$B62="","",'Журнал'!$B62+'Журнал'!$C62+'Журнал'!$D62)</f>
      </c>
      <c r="F62">
        <f>IF('Журнал'!$E62="","",MAX(0,'План'!$B$2-'Журнал'!$E62))</f>
      </c>
    </row>
    <row r="63" spans="1:6" x14ac:dyDescent="0.25">
      <c r="A63">
        <v>62</v>
      </c>
      <c r="B63">
        <f>IF('Журнал'!$E62="","",'Журнал'!$E62)</f>
      </c>
      <c r="C63">
        <f>IF('Журнал'!$B63="","",'План'!$B$6)</f>
      </c>
      <c r="D63">
        <f>IF('Журнал'!$B63="","",('Журнал'!$B63+'Журнал'!$C63)*'План'!$B$9)</f>
      </c>
      <c r="E63">
        <f>IF('Журнал'!$B63="","",'Журнал'!$B63+'Журнал'!$C63+'Журнал'!$D63)</f>
      </c>
      <c r="F63">
        <f>IF('Журнал'!$E63="","",MAX(0,'План'!$B$2-'Журнал'!$E63))</f>
      </c>
    </row>
    <row r="64" spans="1:6" x14ac:dyDescent="0.25">
      <c r="A64">
        <v>63</v>
      </c>
      <c r="B64">
        <f>IF('Журнал'!$E63="","",'Журнал'!$E63)</f>
      </c>
      <c r="C64">
        <f>IF('Журнал'!$B64="","",'План'!$B$6)</f>
      </c>
      <c r="D64">
        <f>IF('Журнал'!$B64="","",('Журнал'!$B64+'Журнал'!$C64)*'План'!$B$9)</f>
      </c>
      <c r="E64">
        <f>IF('Журнал'!$B64="","",'Журнал'!$B64+'Журнал'!$C64+'Журнал'!$D64)</f>
      </c>
      <c r="F64">
        <f>IF('Журнал'!$E64="","",MAX(0,'План'!$B$2-'Журнал'!$E64))</f>
      </c>
    </row>
    <row r="65" spans="1:6" x14ac:dyDescent="0.25">
      <c r="A65">
        <v>64</v>
      </c>
      <c r="B65">
        <f>IF('Журнал'!$E64="","",'Журнал'!$E64)</f>
      </c>
      <c r="C65">
        <f>IF('Журнал'!$B65="","",'План'!$B$6)</f>
      </c>
      <c r="D65">
        <f>IF('Журнал'!$B65="","",('Журнал'!$B65+'Журнал'!$C65)*'План'!$B$9)</f>
      </c>
      <c r="E65">
        <f>IF('Журнал'!$B65="","",'Журнал'!$B65+'Журнал'!$C65+'Журнал'!$D65)</f>
      </c>
      <c r="F65">
        <f>IF('Журнал'!$E65="","",MAX(0,'План'!$B$2-'Журнал'!$E65))</f>
      </c>
    </row>
    <row r="66" spans="1:6" x14ac:dyDescent="0.25">
      <c r="A66">
        <v>65</v>
      </c>
      <c r="B66">
        <f>IF('Журнал'!$E65="","",'Журнал'!$E65)</f>
      </c>
      <c r="C66">
        <f>IF('Журнал'!$B66="","",'План'!$B$6)</f>
      </c>
      <c r="D66">
        <f>IF('Журнал'!$B66="","",('Журнал'!$B66+'Журнал'!$C66)*'План'!$B$9)</f>
      </c>
      <c r="E66">
        <f>IF('Журнал'!$B66="","",'Журнал'!$B66+'Журнал'!$C66+'Журнал'!$D66)</f>
      </c>
      <c r="F66">
        <f>IF('Журнал'!$E66="","",MAX(0,'План'!$B$2-'Журнал'!$E66))</f>
      </c>
    </row>
    <row r="67" spans="1:6" x14ac:dyDescent="0.25">
      <c r="A67">
        <v>66</v>
      </c>
      <c r="B67">
        <f>IF('Журнал'!$E66="","",'Журнал'!$E66)</f>
      </c>
      <c r="C67">
        <f>IF('Журнал'!$B67="","",'План'!$B$6)</f>
      </c>
      <c r="D67">
        <f>IF('Журнал'!$B67="","",('Журнал'!$B67+'Журнал'!$C67)*'План'!$B$9)</f>
      </c>
      <c r="E67">
        <f>IF('Журнал'!$B67="","",'Журнал'!$B67+'Журнал'!$C67+'Журнал'!$D67)</f>
      </c>
      <c r="F67">
        <f>IF('Журнал'!$E67="","",MAX(0,'План'!$B$2-'Журнал'!$E67))</f>
      </c>
    </row>
    <row r="68" spans="1:6" x14ac:dyDescent="0.25">
      <c r="A68">
        <v>67</v>
      </c>
      <c r="B68">
        <f>IF('Журнал'!$E67="","",'Журнал'!$E67)</f>
      </c>
      <c r="C68">
        <f>IF('Журнал'!$B68="","",'План'!$B$6)</f>
      </c>
      <c r="D68">
        <f>IF('Журнал'!$B68="","",('Журнал'!$B68+'Журнал'!$C68)*'План'!$B$9)</f>
      </c>
      <c r="E68">
        <f>IF('Журнал'!$B68="","",'Журнал'!$B68+'Журнал'!$C68+'Журнал'!$D68)</f>
      </c>
      <c r="F68">
        <f>IF('Журнал'!$E68="","",MAX(0,'План'!$B$2-'Журнал'!$E68))</f>
      </c>
    </row>
    <row r="69" spans="1:6" x14ac:dyDescent="0.25">
      <c r="A69">
        <v>68</v>
      </c>
      <c r="B69">
        <f>IF('Журнал'!$E68="","",'Журнал'!$E68)</f>
      </c>
      <c r="C69">
        <f>IF('Журнал'!$B69="","",'План'!$B$6)</f>
      </c>
      <c r="D69">
        <f>IF('Журнал'!$B69="","",('Журнал'!$B69+'Журнал'!$C69)*'План'!$B$9)</f>
      </c>
      <c r="E69">
        <f>IF('Журнал'!$B69="","",'Журнал'!$B69+'Журнал'!$C69+'Журнал'!$D69)</f>
      </c>
      <c r="F69">
        <f>IF('Журнал'!$E69="","",MAX(0,'План'!$B$2-'Журнал'!$E69))</f>
      </c>
    </row>
    <row r="70" spans="1:6" x14ac:dyDescent="0.25">
      <c r="A70">
        <v>69</v>
      </c>
      <c r="B70">
        <f>IF('Журнал'!$E69="","",'Журнал'!$E69)</f>
      </c>
      <c r="C70">
        <f>IF('Журнал'!$B70="","",'План'!$B$6)</f>
      </c>
      <c r="D70">
        <f>IF('Журнал'!$B70="","",('Журнал'!$B70+'Журнал'!$C70)*'План'!$B$9)</f>
      </c>
      <c r="E70">
        <f>IF('Журнал'!$B70="","",'Журнал'!$B70+'Журнал'!$C70+'Журнал'!$D70)</f>
      </c>
      <c r="F70">
        <f>IF('Журнал'!$E70="","",MAX(0,'План'!$B$2-'Журнал'!$E70))</f>
      </c>
    </row>
    <row r="71" spans="1:6" x14ac:dyDescent="0.25">
      <c r="A71">
        <v>70</v>
      </c>
      <c r="B71">
        <f>IF('Журнал'!$E70="","",'Журнал'!$E70)</f>
      </c>
      <c r="C71">
        <f>IF('Журнал'!$B71="","",'План'!$B$6)</f>
      </c>
      <c r="D71">
        <f>IF('Журнал'!$B71="","",('Журнал'!$B71+'Журнал'!$C71)*'План'!$B$9)</f>
      </c>
      <c r="E71">
        <f>IF('Журнал'!$B71="","",'Журнал'!$B71+'Журнал'!$C71+'Журнал'!$D71)</f>
      </c>
      <c r="F71">
        <f>IF('Журнал'!$E71="","",MAX(0,'План'!$B$2-'Журнал'!$E71))</f>
      </c>
    </row>
    <row r="72" spans="1:6" x14ac:dyDescent="0.25">
      <c r="A72">
        <v>71</v>
      </c>
      <c r="B72">
        <f>IF('Журнал'!$E71="","",'Журнал'!$E71)</f>
      </c>
      <c r="C72">
        <f>IF('Журнал'!$B72="","",'План'!$B$6)</f>
      </c>
      <c r="D72">
        <f>IF('Журнал'!$B72="","",('Журнал'!$B72+'Журнал'!$C72)*'План'!$B$9)</f>
      </c>
      <c r="E72">
        <f>IF('Журнал'!$B72="","",'Журнал'!$B72+'Журнал'!$C72+'Журнал'!$D72)</f>
      </c>
      <c r="F72">
        <f>IF('Журнал'!$E72="","",MAX(0,'План'!$B$2-'Журнал'!$E72))</f>
      </c>
    </row>
    <row r="73" spans="1:6" x14ac:dyDescent="0.25">
      <c r="A73">
        <v>72</v>
      </c>
      <c r="B73">
        <f>IF('Журнал'!$E72="","",'Журнал'!$E72)</f>
      </c>
      <c r="C73">
        <f>IF('Журнал'!$B73="","",'План'!$B$6)</f>
      </c>
      <c r="D73">
        <f>IF('Журнал'!$B73="","",('Журнал'!$B73+'Журнал'!$C73)*'План'!$B$9)</f>
      </c>
      <c r="E73">
        <f>IF('Журнал'!$B73="","",'Журнал'!$B73+'Журнал'!$C73+'Журнал'!$D73)</f>
      </c>
      <c r="F73">
        <f>IF('Журнал'!$E73="","",MAX(0,'План'!$B$2-'Журнал'!$E73))</f>
      </c>
    </row>
    <row r="74" spans="1:6" x14ac:dyDescent="0.25">
      <c r="A74">
        <v>73</v>
      </c>
      <c r="B74">
        <f>IF('Журнал'!$E73="","",'Журнал'!$E73)</f>
      </c>
      <c r="C74">
        <f>IF('Журнал'!$B74="","",'План'!$B$6)</f>
      </c>
      <c r="D74">
        <f>IF('Журнал'!$B74="","",('Журнал'!$B74+'Журнал'!$C74)*'План'!$B$9)</f>
      </c>
      <c r="E74">
        <f>IF('Журнал'!$B74="","",'Журнал'!$B74+'Журнал'!$C74+'Журнал'!$D74)</f>
      </c>
      <c r="F74">
        <f>IF('Журнал'!$E74="","",MAX(0,'План'!$B$2-'Журнал'!$E74))</f>
      </c>
    </row>
    <row r="75" spans="1:6" x14ac:dyDescent="0.25">
      <c r="A75">
        <v>74</v>
      </c>
      <c r="B75">
        <f>IF('Журнал'!$E74="","",'Журнал'!$E74)</f>
      </c>
      <c r="C75">
        <f>IF('Журнал'!$B75="","",'План'!$B$6)</f>
      </c>
      <c r="D75">
        <f>IF('Журнал'!$B75="","",('Журнал'!$B75+'Журнал'!$C75)*'План'!$B$9)</f>
      </c>
      <c r="E75">
        <f>IF('Журнал'!$B75="","",'Журнал'!$B75+'Журнал'!$C75+'Журнал'!$D75)</f>
      </c>
      <c r="F75">
        <f>IF('Журнал'!$E75="","",MAX(0,'План'!$B$2-'Журнал'!$E75))</f>
      </c>
    </row>
    <row r="76" spans="1:6" x14ac:dyDescent="0.25">
      <c r="A76">
        <v>75</v>
      </c>
      <c r="B76">
        <f>IF('Журнал'!$E75="","",'Журнал'!$E75)</f>
      </c>
      <c r="C76">
        <f>IF('Журнал'!$B76="","",'План'!$B$6)</f>
      </c>
      <c r="D76">
        <f>IF('Журнал'!$B76="","",('Журнал'!$B76+'Журнал'!$C76)*'План'!$B$9)</f>
      </c>
      <c r="E76">
        <f>IF('Журнал'!$B76="","",'Журнал'!$B76+'Журнал'!$C76+'Журнал'!$D76)</f>
      </c>
      <c r="F76">
        <f>IF('Журнал'!$E76="","",MAX(0,'План'!$B$2-'Журнал'!$E76))</f>
      </c>
    </row>
    <row r="77" spans="1:6" x14ac:dyDescent="0.25">
      <c r="A77">
        <v>76</v>
      </c>
      <c r="B77">
        <f>IF('Журнал'!$E76="","",'Журнал'!$E76)</f>
      </c>
      <c r="C77">
        <f>IF('Журнал'!$B77="","",'План'!$B$6)</f>
      </c>
      <c r="D77">
        <f>IF('Журнал'!$B77="","",('Журнал'!$B77+'Журнал'!$C77)*'План'!$B$9)</f>
      </c>
      <c r="E77">
        <f>IF('Журнал'!$B77="","",'Журнал'!$B77+'Журнал'!$C77+'Журнал'!$D77)</f>
      </c>
      <c r="F77">
        <f>IF('Журнал'!$E77="","",MAX(0,'План'!$B$2-'Журнал'!$E77))</f>
      </c>
    </row>
    <row r="78" spans="1:6" x14ac:dyDescent="0.25">
      <c r="A78">
        <v>77</v>
      </c>
      <c r="B78">
        <f>IF('Журнал'!$E77="","",'Журнал'!$E77)</f>
      </c>
      <c r="C78">
        <f>IF('Журнал'!$B78="","",'План'!$B$6)</f>
      </c>
      <c r="D78">
        <f>IF('Журнал'!$B78="","",('Журнал'!$B78+'Журнал'!$C78)*'План'!$B$9)</f>
      </c>
      <c r="E78">
        <f>IF('Журнал'!$B78="","",'Журнал'!$B78+'Журнал'!$C78+'Журнал'!$D78)</f>
      </c>
      <c r="F78">
        <f>IF('Журнал'!$E78="","",MAX(0,'План'!$B$2-'Журнал'!$E78))</f>
      </c>
    </row>
    <row r="79" spans="1:6" x14ac:dyDescent="0.25">
      <c r="A79">
        <v>78</v>
      </c>
      <c r="B79">
        <f>IF('Журнал'!$E78="","",'Журнал'!$E78)</f>
      </c>
      <c r="C79">
        <f>IF('Журнал'!$B79="","",'План'!$B$6)</f>
      </c>
      <c r="D79">
        <f>IF('Журнал'!$B79="","",('Журнал'!$B79+'Журнал'!$C79)*'План'!$B$9)</f>
      </c>
      <c r="E79">
        <f>IF('Журнал'!$B79="","",'Журнал'!$B79+'Журнал'!$C79+'Журнал'!$D79)</f>
      </c>
      <c r="F79">
        <f>IF('Журнал'!$E79="","",MAX(0,'План'!$B$2-'Журнал'!$E79))</f>
      </c>
    </row>
    <row r="80" spans="1:6" x14ac:dyDescent="0.25">
      <c r="A80">
        <v>79</v>
      </c>
      <c r="B80">
        <f>IF('Журнал'!$E79="","",'Журнал'!$E79)</f>
      </c>
      <c r="C80">
        <f>IF('Журнал'!$B80="","",'План'!$B$6)</f>
      </c>
      <c r="D80">
        <f>IF('Журнал'!$B80="","",('Журнал'!$B80+'Журнал'!$C80)*'План'!$B$9)</f>
      </c>
      <c r="E80">
        <f>IF('Журнал'!$B80="","",'Журнал'!$B80+'Журнал'!$C80+'Журнал'!$D80)</f>
      </c>
      <c r="F80">
        <f>IF('Журнал'!$E80="","",MAX(0,'План'!$B$2-'Журнал'!$E80))</f>
      </c>
    </row>
    <row r="81" spans="1:6" x14ac:dyDescent="0.25">
      <c r="A81">
        <v>80</v>
      </c>
      <c r="B81">
        <f>IF('Журнал'!$E80="","",'Журнал'!$E80)</f>
      </c>
      <c r="C81">
        <f>IF('Журнал'!$B81="","",'План'!$B$6)</f>
      </c>
      <c r="D81">
        <f>IF('Журнал'!$B81="","",('Журнал'!$B81+'Журнал'!$C81)*'План'!$B$9)</f>
      </c>
      <c r="E81">
        <f>IF('Журнал'!$B81="","",'Журнал'!$B81+'Журнал'!$C81+'Журнал'!$D81)</f>
      </c>
      <c r="F81">
        <f>IF('Журнал'!$E81="","",MAX(0,'План'!$B$2-'Журнал'!$E81))</f>
      </c>
    </row>
    <row r="82" spans="1:6" x14ac:dyDescent="0.25">
      <c r="A82">
        <v>81</v>
      </c>
      <c r="B82">
        <f>IF('Журнал'!$E81="","",'Журнал'!$E81)</f>
      </c>
      <c r="C82">
        <f>IF('Журнал'!$B82="","",'План'!$B$6)</f>
      </c>
      <c r="D82">
        <f>IF('Журнал'!$B82="","",('Журнал'!$B82+'Журнал'!$C82)*'План'!$B$9)</f>
      </c>
      <c r="E82">
        <f>IF('Журнал'!$B82="","",'Журнал'!$B82+'Журнал'!$C82+'Журнал'!$D82)</f>
      </c>
      <c r="F82">
        <f>IF('Журнал'!$E82="","",MAX(0,'План'!$B$2-'Журнал'!$E82))</f>
      </c>
    </row>
    <row r="83" spans="1:6" x14ac:dyDescent="0.25">
      <c r="A83">
        <v>82</v>
      </c>
      <c r="B83">
        <f>IF('Журнал'!$E82="","",'Журнал'!$E82)</f>
      </c>
      <c r="C83">
        <f>IF('Журнал'!$B83="","",'План'!$B$6)</f>
      </c>
      <c r="D83">
        <f>IF('Журнал'!$B83="","",('Журнал'!$B83+'Журнал'!$C83)*'План'!$B$9)</f>
      </c>
      <c r="E83">
        <f>IF('Журнал'!$B83="","",'Журнал'!$B83+'Журнал'!$C83+'Журнал'!$D83)</f>
      </c>
      <c r="F83">
        <f>IF('Журнал'!$E83="","",MAX(0,'План'!$B$2-'Журнал'!$E83))</f>
      </c>
    </row>
    <row r="84" spans="1:6" x14ac:dyDescent="0.25">
      <c r="A84">
        <v>83</v>
      </c>
      <c r="B84">
        <f>IF('Журнал'!$E83="","",'Журнал'!$E83)</f>
      </c>
      <c r="C84">
        <f>IF('Журнал'!$B84="","",'План'!$B$6)</f>
      </c>
      <c r="D84">
        <f>IF('Журнал'!$B84="","",('Журнал'!$B84+'Журнал'!$C84)*'План'!$B$9)</f>
      </c>
      <c r="E84">
        <f>IF('Журнал'!$B84="","",'Журнал'!$B84+'Журнал'!$C84+'Журнал'!$D84)</f>
      </c>
      <c r="F84">
        <f>IF('Журнал'!$E84="","",MAX(0,'План'!$B$2-'Журнал'!$E84))</f>
      </c>
    </row>
    <row r="85" spans="1:6" x14ac:dyDescent="0.25">
      <c r="A85">
        <v>84</v>
      </c>
      <c r="B85">
        <f>IF('Журнал'!$E84="","",'Журнал'!$E84)</f>
      </c>
      <c r="C85">
        <f>IF('Журнал'!$B85="","",'План'!$B$6)</f>
      </c>
      <c r="D85">
        <f>IF('Журнал'!$B85="","",('Журнал'!$B85+'Журнал'!$C85)*'План'!$B$9)</f>
      </c>
      <c r="E85">
        <f>IF('Журнал'!$B85="","",'Журнал'!$B85+'Журнал'!$C85+'Журнал'!$D85)</f>
      </c>
      <c r="F85">
        <f>IF('Журнал'!$E85="","",MAX(0,'План'!$B$2-'Журнал'!$E85))</f>
      </c>
    </row>
    <row r="86" spans="1:6" x14ac:dyDescent="0.25">
      <c r="A86">
        <v>85</v>
      </c>
      <c r="B86">
        <f>IF('Журнал'!$E85="","",'Журнал'!$E85)</f>
      </c>
      <c r="C86">
        <f>IF('Журнал'!$B86="","",'План'!$B$6)</f>
      </c>
      <c r="D86">
        <f>IF('Журнал'!$B86="","",('Журнал'!$B86+'Журнал'!$C86)*'План'!$B$9)</f>
      </c>
      <c r="E86">
        <f>IF('Журнал'!$B86="","",'Журнал'!$B86+'Журнал'!$C86+'Журнал'!$D86)</f>
      </c>
      <c r="F86">
        <f>IF('Журнал'!$E86="","",MAX(0,'План'!$B$2-'Журнал'!$E86))</f>
      </c>
    </row>
    <row r="87" spans="1:6" x14ac:dyDescent="0.25">
      <c r="A87">
        <v>86</v>
      </c>
      <c r="B87">
        <f>IF('Журнал'!$E86="","",'Журнал'!$E86)</f>
      </c>
      <c r="C87">
        <f>IF('Журнал'!$B87="","",'План'!$B$6)</f>
      </c>
      <c r="D87">
        <f>IF('Журнал'!$B87="","",('Журнал'!$B87+'Журнал'!$C87)*'План'!$B$9)</f>
      </c>
      <c r="E87">
        <f>IF('Журнал'!$B87="","",'Журнал'!$B87+'Журнал'!$C87+'Журнал'!$D87)</f>
      </c>
      <c r="F87">
        <f>IF('Журнал'!$E87="","",MAX(0,'План'!$B$2-'Журнал'!$E87))</f>
      </c>
    </row>
    <row r="88" spans="1:6" x14ac:dyDescent="0.25">
      <c r="A88">
        <v>87</v>
      </c>
      <c r="B88">
        <f>IF('Журнал'!$E87="","",'Журнал'!$E87)</f>
      </c>
      <c r="C88">
        <f>IF('Журнал'!$B88="","",'План'!$B$6)</f>
      </c>
      <c r="D88">
        <f>IF('Журнал'!$B88="","",('Журнал'!$B88+'Журнал'!$C88)*'План'!$B$9)</f>
      </c>
      <c r="E88">
        <f>IF('Журнал'!$B88="","",'Журнал'!$B88+'Журнал'!$C88+'Журнал'!$D88)</f>
      </c>
      <c r="F88">
        <f>IF('Журнал'!$E88="","",MAX(0,'План'!$B$2-'Журнал'!$E88))</f>
      </c>
    </row>
    <row r="89" spans="1:6" x14ac:dyDescent="0.25">
      <c r="A89">
        <v>88</v>
      </c>
      <c r="B89">
        <f>IF('Журнал'!$E88="","",'Журнал'!$E88)</f>
      </c>
      <c r="C89">
        <f>IF('Журнал'!$B89="","",'План'!$B$6)</f>
      </c>
      <c r="D89">
        <f>IF('Журнал'!$B89="","",('Журнал'!$B89+'Журнал'!$C89)*'План'!$B$9)</f>
      </c>
      <c r="E89">
        <f>IF('Журнал'!$B89="","",'Журнал'!$B89+'Журнал'!$C89+'Журнал'!$D89)</f>
      </c>
      <c r="F89">
        <f>IF('Журнал'!$E89="","",MAX(0,'План'!$B$2-'Журнал'!$E89))</f>
      </c>
    </row>
    <row r="90" spans="1:6" x14ac:dyDescent="0.25">
      <c r="A90">
        <v>89</v>
      </c>
      <c r="B90">
        <f>IF('Журнал'!$E89="","",'Журнал'!$E89)</f>
      </c>
      <c r="C90">
        <f>IF('Журнал'!$B90="","",'План'!$B$6)</f>
      </c>
      <c r="D90">
        <f>IF('Журнал'!$B90="","",('Журнал'!$B90+'Журнал'!$C90)*'План'!$B$9)</f>
      </c>
      <c r="E90">
        <f>IF('Журнал'!$B90="","",'Журнал'!$B90+'Журнал'!$C90+'Журнал'!$D90)</f>
      </c>
      <c r="F90">
        <f>IF('Журнал'!$E90="","",MAX(0,'План'!$B$2-'Журнал'!$E90))</f>
      </c>
    </row>
    <row r="91" spans="1:6" x14ac:dyDescent="0.25">
      <c r="A91">
        <v>90</v>
      </c>
      <c r="B91">
        <f>IF('Журнал'!$E90="","",'Журнал'!$E90)</f>
      </c>
      <c r="C91">
        <f>IF('Журнал'!$B91="","",'План'!$B$6)</f>
      </c>
      <c r="D91">
        <f>IF('Журнал'!$B91="","",('Журнал'!$B91+'Журнал'!$C91)*'План'!$B$9)</f>
      </c>
      <c r="E91">
        <f>IF('Журнал'!$B91="","",'Журнал'!$B91+'Журнал'!$C91+'Журнал'!$D91)</f>
      </c>
      <c r="F91">
        <f>IF('Журнал'!$E91="","",MAX(0,'План'!$B$2-'Журнал'!$E91))</f>
      </c>
    </row>
    <row r="92" spans="1:6" x14ac:dyDescent="0.25">
      <c r="A92">
        <v>91</v>
      </c>
      <c r="B92">
        <f>IF('Журнал'!$E91="","",'Журнал'!$E91)</f>
      </c>
      <c r="C92">
        <f>IF('Журнал'!$B92="","",'План'!$B$6)</f>
      </c>
      <c r="D92">
        <f>IF('Журнал'!$B92="","",('Журнал'!$B92+'Журнал'!$C92)*'План'!$B$9)</f>
      </c>
      <c r="E92">
        <f>IF('Журнал'!$B92="","",'Журнал'!$B92+'Журнал'!$C92+'Журнал'!$D92)</f>
      </c>
      <c r="F92">
        <f>IF('Журнал'!$E92="","",MAX(0,'План'!$B$2-'Журнал'!$E92))</f>
      </c>
    </row>
    <row r="93" spans="1:6" x14ac:dyDescent="0.25">
      <c r="A93">
        <v>92</v>
      </c>
      <c r="B93">
        <f>IF('Журнал'!$E92="","",'Журнал'!$E92)</f>
      </c>
      <c r="C93">
        <f>IF('Журнал'!$B93="","",'План'!$B$6)</f>
      </c>
      <c r="D93">
        <f>IF('Журнал'!$B93="","",('Журнал'!$B93+'Журнал'!$C93)*'План'!$B$9)</f>
      </c>
      <c r="E93">
        <f>IF('Журнал'!$B93="","",'Журнал'!$B93+'Журнал'!$C93+'Журнал'!$D93)</f>
      </c>
      <c r="F93">
        <f>IF('Журнал'!$E93="","",MAX(0,'План'!$B$2-'Журнал'!$E93))</f>
      </c>
    </row>
    <row r="94" spans="1:6" x14ac:dyDescent="0.25">
      <c r="A94">
        <v>93</v>
      </c>
      <c r="B94">
        <f>IF('Журнал'!$E93="","",'Журнал'!$E93)</f>
      </c>
      <c r="C94">
        <f>IF('Журнал'!$B94="","",'План'!$B$6)</f>
      </c>
      <c r="D94">
        <f>IF('Журнал'!$B94="","",('Журнал'!$B94+'Журнал'!$C94)*'План'!$B$9)</f>
      </c>
      <c r="E94">
        <f>IF('Журнал'!$B94="","",'Журнал'!$B94+'Журнал'!$C94+'Журнал'!$D94)</f>
      </c>
      <c r="F94">
        <f>IF('Журнал'!$E94="","",MAX(0,'План'!$B$2-'Журнал'!$E94))</f>
      </c>
    </row>
    <row r="95" spans="1:6" x14ac:dyDescent="0.25">
      <c r="A95">
        <v>94</v>
      </c>
      <c r="B95">
        <f>IF('Журнал'!$E94="","",'Журнал'!$E94)</f>
      </c>
      <c r="C95">
        <f>IF('Журнал'!$B95="","",'План'!$B$6)</f>
      </c>
      <c r="D95">
        <f>IF('Журнал'!$B95="","",('Журнал'!$B95+'Журнал'!$C95)*'План'!$B$9)</f>
      </c>
      <c r="E95">
        <f>IF('Журнал'!$B95="","",'Журнал'!$B95+'Журнал'!$C95+'Журнал'!$D95)</f>
      </c>
      <c r="F95">
        <f>IF('Журнал'!$E95="","",MAX(0,'План'!$B$2-'Журнал'!$E95))</f>
      </c>
    </row>
    <row r="96" spans="1:6" x14ac:dyDescent="0.25">
      <c r="A96">
        <v>95</v>
      </c>
      <c r="B96">
        <f>IF('Журнал'!$E95="","",'Журнал'!$E95)</f>
      </c>
      <c r="C96">
        <f>IF('Журнал'!$B96="","",'План'!$B$6)</f>
      </c>
      <c r="D96">
        <f>IF('Журнал'!$B96="","",('Журнал'!$B96+'Журнал'!$C96)*'План'!$B$9)</f>
      </c>
      <c r="E96">
        <f>IF('Журнал'!$B96="","",'Журнал'!$B96+'Журнал'!$C96+'Журнал'!$D96)</f>
      </c>
      <c r="F96">
        <f>IF('Журнал'!$E96="","",MAX(0,'План'!$B$2-'Журнал'!$E96))</f>
      </c>
    </row>
    <row r="97" spans="1:6" x14ac:dyDescent="0.25">
      <c r="A97">
        <v>96</v>
      </c>
      <c r="B97">
        <f>IF('Журнал'!$E96="","",'Журнал'!$E96)</f>
      </c>
      <c r="C97">
        <f>IF('Журнал'!$B97="","",'План'!$B$6)</f>
      </c>
      <c r="D97">
        <f>IF('Журнал'!$B97="","",('Журнал'!$B97+'Журнал'!$C97)*'План'!$B$9)</f>
      </c>
      <c r="E97">
        <f>IF('Журнал'!$B97="","",'Журнал'!$B97+'Журнал'!$C97+'Журнал'!$D97)</f>
      </c>
      <c r="F97">
        <f>IF('Журнал'!$E97="","",MAX(0,'План'!$B$2-'Журнал'!$E97))</f>
      </c>
    </row>
    <row r="98" spans="1:6" x14ac:dyDescent="0.25">
      <c r="A98">
        <v>97</v>
      </c>
      <c r="B98">
        <f>IF('Журнал'!$E97="","",'Журнал'!$E97)</f>
      </c>
      <c r="C98">
        <f>IF('Журнал'!$B98="","",'План'!$B$6)</f>
      </c>
      <c r="D98">
        <f>IF('Журнал'!$B98="","",('Журнал'!$B98+'Журнал'!$C98)*'План'!$B$9)</f>
      </c>
      <c r="E98">
        <f>IF('Журнал'!$B98="","",'Журнал'!$B98+'Журнал'!$C98+'Журнал'!$D98)</f>
      </c>
      <c r="F98">
        <f>IF('Журнал'!$E98="","",MAX(0,'План'!$B$2-'Журнал'!$E98))</f>
      </c>
    </row>
    <row r="99" spans="1:6" x14ac:dyDescent="0.25">
      <c r="A99">
        <v>98</v>
      </c>
      <c r="B99">
        <f>IF('Журнал'!$E98="","",'Журнал'!$E98)</f>
      </c>
      <c r="C99">
        <f>IF('Журнал'!$B99="","",'План'!$B$6)</f>
      </c>
      <c r="D99">
        <f>IF('Журнал'!$B99="","",('Журнал'!$B99+'Журнал'!$C99)*'План'!$B$9)</f>
      </c>
      <c r="E99">
        <f>IF('Журнал'!$B99="","",'Журнал'!$B99+'Журнал'!$C99+'Журнал'!$D99)</f>
      </c>
      <c r="F99">
        <f>IF('Журнал'!$E99="","",MAX(0,'План'!$B$2-'Журнал'!$E99))</f>
      </c>
    </row>
    <row r="100" spans="1:6" x14ac:dyDescent="0.25">
      <c r="A100">
        <v>99</v>
      </c>
      <c r="B100">
        <f>IF('Журнал'!$E99="","",'Журнал'!$E99)</f>
      </c>
      <c r="C100">
        <f>IF('Журнал'!$B100="","",'План'!$B$6)</f>
      </c>
      <c r="D100">
        <f>IF('Журнал'!$B100="","",('Журнал'!$B100+'Журнал'!$C100)*'План'!$B$9)</f>
      </c>
      <c r="E100">
        <f>IF('Журнал'!$B100="","",'Журнал'!$B100+'Журнал'!$C100+'Журнал'!$D100)</f>
      </c>
      <c r="F100">
        <f>IF('Журнал'!$E100="","",MAX(0,'План'!$B$2-'Журнал'!$E100))</f>
      </c>
    </row>
    <row r="101" spans="1:6" x14ac:dyDescent="0.25">
      <c r="A101">
        <v>100</v>
      </c>
      <c r="B101">
        <f>IF('Журнал'!$E100="","",'Журнал'!$E100)</f>
      </c>
      <c r="C101">
        <f>IF('Журнал'!$B101="","",'План'!$B$6)</f>
      </c>
      <c r="D101">
        <f>IF('Журнал'!$B101="","",('Журнал'!$B101+'Журнал'!$C101)*'План'!$B$9)</f>
      </c>
      <c r="E101">
        <f>IF('Журнал'!$B101="","",'Журнал'!$B101+'Журнал'!$C101+'Журнал'!$D101)</f>
      </c>
      <c r="F101">
        <f>IF('Журнал'!$E101="","",MAX(0,'План'!$B$2-'Журнал'!$E101))</f>
      </c>
    </row>
    <row r="102" spans="1:6" x14ac:dyDescent="0.25">
      <c r="A102">
        <v>101</v>
      </c>
      <c r="B102">
        <f>IF('Журнал'!$E101="","",'Журнал'!$E101)</f>
      </c>
      <c r="C102">
        <f>IF('Журнал'!$B102="","",'План'!$B$6)</f>
      </c>
      <c r="D102">
        <f>IF('Журнал'!$B102="","",('Журнал'!$B102+'Журнал'!$C102)*'План'!$B$9)</f>
      </c>
      <c r="E102">
        <f>IF('Журнал'!$B102="","",'Журнал'!$B102+'Журнал'!$C102+'Журнал'!$D102)</f>
      </c>
      <c r="F102">
        <f>IF('Журнал'!$E102="","",MAX(0,'План'!$B$2-'Журнал'!$E102))</f>
      </c>
    </row>
    <row r="103" spans="1:6" x14ac:dyDescent="0.25">
      <c r="A103">
        <v>102</v>
      </c>
      <c r="B103">
        <f>IF('Журнал'!$E102="","",'Журнал'!$E102)</f>
      </c>
      <c r="C103">
        <f>IF('Журнал'!$B103="","",'План'!$B$6)</f>
      </c>
      <c r="D103">
        <f>IF('Журнал'!$B103="","",('Журнал'!$B103+'Журнал'!$C103)*'План'!$B$9)</f>
      </c>
      <c r="E103">
        <f>IF('Журнал'!$B103="","",'Журнал'!$B103+'Журнал'!$C103+'Журнал'!$D103)</f>
      </c>
      <c r="F103">
        <f>IF('Журнал'!$E103="","",MAX(0,'План'!$B$2-'Журнал'!$E103))</f>
      </c>
    </row>
    <row r="104" spans="1:6" x14ac:dyDescent="0.25">
      <c r="A104">
        <v>103</v>
      </c>
      <c r="B104">
        <f>IF('Журнал'!$E103="","",'Журнал'!$E103)</f>
      </c>
      <c r="C104">
        <f>IF('Журнал'!$B104="","",'План'!$B$6)</f>
      </c>
      <c r="D104">
        <f>IF('Журнал'!$B104="","",('Журнал'!$B104+'Журнал'!$C104)*'План'!$B$9)</f>
      </c>
      <c r="E104">
        <f>IF('Журнал'!$B104="","",'Журнал'!$B104+'Журнал'!$C104+'Журнал'!$D104)</f>
      </c>
      <c r="F104">
        <f>IF('Журнал'!$E104="","",MAX(0,'План'!$B$2-'Журнал'!$E104))</f>
      </c>
    </row>
    <row r="105" spans="1:6" x14ac:dyDescent="0.25">
      <c r="A105">
        <v>104</v>
      </c>
      <c r="B105">
        <f>IF('Журнал'!$E104="","",'Журнал'!$E104)</f>
      </c>
      <c r="C105">
        <f>IF('Журнал'!$B105="","",'План'!$B$6)</f>
      </c>
      <c r="D105">
        <f>IF('Журнал'!$B105="","",('Журнал'!$B105+'Журнал'!$C105)*'План'!$B$9)</f>
      </c>
      <c r="E105">
        <f>IF('Журнал'!$B105="","",'Журнал'!$B105+'Журнал'!$C105+'Журнал'!$D105)</f>
      </c>
      <c r="F105">
        <f>IF('Журнал'!$E105="","",MAX(0,'План'!$B$2-'Журнал'!$E105))</f>
      </c>
    </row>
    <row r="106" spans="1:6" x14ac:dyDescent="0.25">
      <c r="A106">
        <v>105</v>
      </c>
      <c r="B106">
        <f>IF('Журнал'!$E105="","",'Журнал'!$E105)</f>
      </c>
      <c r="C106">
        <f>IF('Журнал'!$B106="","",'План'!$B$6)</f>
      </c>
      <c r="D106">
        <f>IF('Журнал'!$B106="","",('Журнал'!$B106+'Журнал'!$C106)*'План'!$B$9)</f>
      </c>
      <c r="E106">
        <f>IF('Журнал'!$B106="","",'Журнал'!$B106+'Журнал'!$C106+'Журнал'!$D106)</f>
      </c>
      <c r="F106">
        <f>IF('Журнал'!$E106="","",MAX(0,'План'!$B$2-'Журнал'!$E106))</f>
      </c>
    </row>
    <row r="107" spans="1:6" x14ac:dyDescent="0.25">
      <c r="A107">
        <v>106</v>
      </c>
      <c r="B107">
        <f>IF('Журнал'!$E106="","",'Журнал'!$E106)</f>
      </c>
      <c r="C107">
        <f>IF('Журнал'!$B107="","",'План'!$B$6)</f>
      </c>
      <c r="D107">
        <f>IF('Журнал'!$B107="","",('Журнал'!$B107+'Журнал'!$C107)*'План'!$B$9)</f>
      </c>
      <c r="E107">
        <f>IF('Журнал'!$B107="","",'Журнал'!$B107+'Журнал'!$C107+'Журнал'!$D107)</f>
      </c>
      <c r="F107">
        <f>IF('Журнал'!$E107="","",MAX(0,'План'!$B$2-'Журнал'!$E107))</f>
      </c>
    </row>
    <row r="108" spans="1:6" x14ac:dyDescent="0.25">
      <c r="A108">
        <v>107</v>
      </c>
      <c r="B108">
        <f>IF('Журнал'!$E107="","",'Журнал'!$E107)</f>
      </c>
      <c r="C108">
        <f>IF('Журнал'!$B108="","",'План'!$B$6)</f>
      </c>
      <c r="D108">
        <f>IF('Журнал'!$B108="","",('Журнал'!$B108+'Журнал'!$C108)*'План'!$B$9)</f>
      </c>
      <c r="E108">
        <f>IF('Журнал'!$B108="","",'Журнал'!$B108+'Журнал'!$C108+'Журнал'!$D108)</f>
      </c>
      <c r="F108">
        <f>IF('Журнал'!$E108="","",MAX(0,'План'!$B$2-'Журнал'!$E108))</f>
      </c>
    </row>
    <row r="109" spans="1:6" x14ac:dyDescent="0.25">
      <c r="A109">
        <v>108</v>
      </c>
      <c r="B109">
        <f>IF('Журнал'!$E108="","",'Журнал'!$E108)</f>
      </c>
      <c r="C109">
        <f>IF('Журнал'!$B109="","",'План'!$B$6)</f>
      </c>
      <c r="D109">
        <f>IF('Журнал'!$B109="","",('Журнал'!$B109+'Журнал'!$C109)*'План'!$B$9)</f>
      </c>
      <c r="E109">
        <f>IF('Журнал'!$B109="","",'Журнал'!$B109+'Журнал'!$C109+'Журнал'!$D109)</f>
      </c>
      <c r="F109">
        <f>IF('Журнал'!$E109="","",MAX(0,'План'!$B$2-'Журнал'!$E109))</f>
      </c>
    </row>
    <row r="110" spans="1:6" x14ac:dyDescent="0.25">
      <c r="A110">
        <v>109</v>
      </c>
      <c r="B110">
        <f>IF('Журнал'!$E109="","",'Журнал'!$E109)</f>
      </c>
      <c r="C110">
        <f>IF('Журнал'!$B110="","",'План'!$B$6)</f>
      </c>
      <c r="D110">
        <f>IF('Журнал'!$B110="","",('Журнал'!$B110+'Журнал'!$C110)*'План'!$B$9)</f>
      </c>
      <c r="E110">
        <f>IF('Журнал'!$B110="","",'Журнал'!$B110+'Журнал'!$C110+'Журнал'!$D110)</f>
      </c>
      <c r="F110">
        <f>IF('Журнал'!$E110="","",MAX(0,'План'!$B$2-'Журнал'!$E110))</f>
      </c>
    </row>
    <row r="111" spans="1:6" x14ac:dyDescent="0.25">
      <c r="A111">
        <v>110</v>
      </c>
      <c r="B111">
        <f>IF('Журнал'!$E110="","",'Журнал'!$E110)</f>
      </c>
      <c r="C111">
        <f>IF('Журнал'!$B111="","",'План'!$B$6)</f>
      </c>
      <c r="D111">
        <f>IF('Журнал'!$B111="","",('Журнал'!$B111+'Журнал'!$C111)*'План'!$B$9)</f>
      </c>
      <c r="E111">
        <f>IF('Журнал'!$B111="","",'Журнал'!$B111+'Журнал'!$C111+'Журнал'!$D111)</f>
      </c>
      <c r="F111">
        <f>IF('Журнал'!$E111="","",MAX(0,'План'!$B$2-'Журнал'!$E111))</f>
      </c>
    </row>
    <row r="112" spans="1:6" x14ac:dyDescent="0.25">
      <c r="A112">
        <v>111</v>
      </c>
      <c r="B112">
        <f>IF('Журнал'!$E111="","",'Журнал'!$E111)</f>
      </c>
      <c r="C112">
        <f>IF('Журнал'!$B112="","",'План'!$B$6)</f>
      </c>
      <c r="D112">
        <f>IF('Журнал'!$B112="","",('Журнал'!$B112+'Журнал'!$C112)*'План'!$B$9)</f>
      </c>
      <c r="E112">
        <f>IF('Журнал'!$B112="","",'Журнал'!$B112+'Журнал'!$C112+'Журнал'!$D112)</f>
      </c>
      <c r="F112">
        <f>IF('Журнал'!$E112="","",MAX(0,'План'!$B$2-'Журнал'!$E112))</f>
      </c>
    </row>
    <row r="113" spans="1:6" x14ac:dyDescent="0.25">
      <c r="A113">
        <v>112</v>
      </c>
      <c r="B113">
        <f>IF('Журнал'!$E112="","",'Журнал'!$E112)</f>
      </c>
      <c r="C113">
        <f>IF('Журнал'!$B113="","",'План'!$B$6)</f>
      </c>
      <c r="D113">
        <f>IF('Журнал'!$B113="","",('Журнал'!$B113+'Журнал'!$C113)*'План'!$B$9)</f>
      </c>
      <c r="E113">
        <f>IF('Журнал'!$B113="","",'Журнал'!$B113+'Журнал'!$C113+'Журнал'!$D113)</f>
      </c>
      <c r="F113">
        <f>IF('Журнал'!$E113="","",MAX(0,'План'!$B$2-'Журнал'!$E113))</f>
      </c>
    </row>
    <row r="114" spans="1:6" x14ac:dyDescent="0.25">
      <c r="A114">
        <v>113</v>
      </c>
      <c r="B114">
        <f>IF('Журнал'!$E113="","",'Журнал'!$E113)</f>
      </c>
      <c r="C114">
        <f>IF('Журнал'!$B114="","",'План'!$B$6)</f>
      </c>
      <c r="D114">
        <f>IF('Журнал'!$B114="","",('Журнал'!$B114+'Журнал'!$C114)*'План'!$B$9)</f>
      </c>
      <c r="E114">
        <f>IF('Журнал'!$B114="","",'Журнал'!$B114+'Журнал'!$C114+'Журнал'!$D114)</f>
      </c>
      <c r="F114">
        <f>IF('Журнал'!$E114="","",MAX(0,'План'!$B$2-'Журнал'!$E114))</f>
      </c>
    </row>
    <row r="115" spans="1:6" x14ac:dyDescent="0.25">
      <c r="A115">
        <v>114</v>
      </c>
      <c r="B115">
        <f>IF('Журнал'!$E114="","",'Журнал'!$E114)</f>
      </c>
      <c r="C115">
        <f>IF('Журнал'!$B115="","",'План'!$B$6)</f>
      </c>
      <c r="D115">
        <f>IF('Журнал'!$B115="","",('Журнал'!$B115+'Журнал'!$C115)*'План'!$B$9)</f>
      </c>
      <c r="E115">
        <f>IF('Журнал'!$B115="","",'Журнал'!$B115+'Журнал'!$C115+'Журнал'!$D115)</f>
      </c>
      <c r="F115">
        <f>IF('Журнал'!$E115="","",MAX(0,'План'!$B$2-'Журнал'!$E115))</f>
      </c>
    </row>
    <row r="116" spans="1:6" x14ac:dyDescent="0.25">
      <c r="A116">
        <v>115</v>
      </c>
      <c r="B116">
        <f>IF('Журнал'!$E115="","",'Журнал'!$E115)</f>
      </c>
      <c r="C116">
        <f>IF('Журнал'!$B116="","",'План'!$B$6)</f>
      </c>
      <c r="D116">
        <f>IF('Журнал'!$B116="","",('Журнал'!$B116+'Журнал'!$C116)*'План'!$B$9)</f>
      </c>
      <c r="E116">
        <f>IF('Журнал'!$B116="","",'Журнал'!$B116+'Журнал'!$C116+'Журнал'!$D116)</f>
      </c>
      <c r="F116">
        <f>IF('Журнал'!$E116="","",MAX(0,'План'!$B$2-'Журнал'!$E116))</f>
      </c>
    </row>
    <row r="117" spans="1:6" x14ac:dyDescent="0.25">
      <c r="A117">
        <v>116</v>
      </c>
      <c r="B117">
        <f>IF('Журнал'!$E116="","",'Журнал'!$E116)</f>
      </c>
      <c r="C117">
        <f>IF('Журнал'!$B117="","",'План'!$B$6)</f>
      </c>
      <c r="D117">
        <f>IF('Журнал'!$B117="","",('Журнал'!$B117+'Журнал'!$C117)*'План'!$B$9)</f>
      </c>
      <c r="E117">
        <f>IF('Журнал'!$B117="","",'Журнал'!$B117+'Журнал'!$C117+'Журнал'!$D117)</f>
      </c>
      <c r="F117">
        <f>IF('Журнал'!$E117="","",MAX(0,'План'!$B$2-'Журнал'!$E117))</f>
      </c>
    </row>
    <row r="118" spans="1:6" x14ac:dyDescent="0.25">
      <c r="A118">
        <v>117</v>
      </c>
      <c r="B118">
        <f>IF('Журнал'!$E117="","",'Журнал'!$E117)</f>
      </c>
      <c r="C118">
        <f>IF('Журнал'!$B118="","",'План'!$B$6)</f>
      </c>
      <c r="D118">
        <f>IF('Журнал'!$B118="","",('Журнал'!$B118+'Журнал'!$C118)*'План'!$B$9)</f>
      </c>
      <c r="E118">
        <f>IF('Журнал'!$B118="","",'Журнал'!$B118+'Журнал'!$C118+'Журнал'!$D118)</f>
      </c>
      <c r="F118">
        <f>IF('Журнал'!$E118="","",MAX(0,'План'!$B$2-'Журнал'!$E118))</f>
      </c>
    </row>
    <row r="119" spans="1:6" x14ac:dyDescent="0.25">
      <c r="A119">
        <v>118</v>
      </c>
      <c r="B119">
        <f>IF('Журнал'!$E118="","",'Журнал'!$E118)</f>
      </c>
      <c r="C119">
        <f>IF('Журнал'!$B119="","",'План'!$B$6)</f>
      </c>
      <c r="D119">
        <f>IF('Журнал'!$B119="","",('Журнал'!$B119+'Журнал'!$C119)*'План'!$B$9)</f>
      </c>
      <c r="E119">
        <f>IF('Журнал'!$B119="","",'Журнал'!$B119+'Журнал'!$C119+'Журнал'!$D119)</f>
      </c>
      <c r="F119">
        <f>IF('Журнал'!$E119="","",MAX(0,'План'!$B$2-'Журнал'!$E119))</f>
      </c>
    </row>
    <row r="120" spans="1:6" x14ac:dyDescent="0.25">
      <c r="A120">
        <v>119</v>
      </c>
      <c r="B120">
        <f>IF('Журнал'!$E119="","",'Журнал'!$E119)</f>
      </c>
      <c r="C120">
        <f>IF('Журнал'!$B120="","",'План'!$B$6)</f>
      </c>
      <c r="D120">
        <f>IF('Журнал'!$B120="","",('Журнал'!$B120+'Журнал'!$C120)*'План'!$B$9)</f>
      </c>
      <c r="E120">
        <f>IF('Журнал'!$B120="","",'Журнал'!$B120+'Журнал'!$C120+'Журнал'!$D120)</f>
      </c>
      <c r="F120">
        <f>IF('Журнал'!$E120="","",MAX(0,'План'!$B$2-'Журнал'!$E120))</f>
      </c>
    </row>
    <row r="121" spans="1:6" x14ac:dyDescent="0.25">
      <c r="A121">
        <v>120</v>
      </c>
      <c r="B121">
        <f>IF('Журнал'!$E120="","",'Журнал'!$E120)</f>
      </c>
      <c r="C121">
        <f>IF('Журнал'!$B121="","",'План'!$B$6)</f>
      </c>
      <c r="D121">
        <f>IF('Журнал'!$B121="","",('Журнал'!$B121+'Журнал'!$C121)*'План'!$B$9)</f>
      </c>
      <c r="E121">
        <f>IF('Журнал'!$B121="","",'Журнал'!$B121+'Журнал'!$C121+'Журнал'!$D121)</f>
      </c>
      <c r="F121">
        <f>IF('Журнал'!$E121="","",MAX(0,'План'!$B$2-'Журнал'!$E121))</f>
      </c>
    </row>
    <row r="122" spans="1:6" x14ac:dyDescent="0.25">
      <c r="A122">
        <v>121</v>
      </c>
      <c r="B122">
        <f>IF('Журнал'!$E121="","",'Журнал'!$E121)</f>
      </c>
      <c r="C122">
        <f>IF('Журнал'!$B122="","",'План'!$B$6)</f>
      </c>
      <c r="D122">
        <f>IF('Журнал'!$B122="","",('Журнал'!$B122+'Журнал'!$C122)*'План'!$B$9)</f>
      </c>
      <c r="E122">
        <f>IF('Журнал'!$B122="","",'Журнал'!$B122+'Журнал'!$C122+'Журнал'!$D122)</f>
      </c>
      <c r="F122">
        <f>IF('Журнал'!$E122="","",MAX(0,'План'!$B$2-'Журнал'!$E122))</f>
      </c>
    </row>
    <row r="123" spans="1:6" x14ac:dyDescent="0.25">
      <c r="A123">
        <v>122</v>
      </c>
      <c r="B123">
        <f>IF('Журнал'!$E122="","",'Журнал'!$E122)</f>
      </c>
      <c r="C123">
        <f>IF('Журнал'!$B123="","",'План'!$B$6)</f>
      </c>
      <c r="D123">
        <f>IF('Журнал'!$B123="","",('Журнал'!$B123+'Журнал'!$C123)*'План'!$B$9)</f>
      </c>
      <c r="E123">
        <f>IF('Журнал'!$B123="","",'Журнал'!$B123+'Журнал'!$C123+'Журнал'!$D123)</f>
      </c>
      <c r="F123">
        <f>IF('Журнал'!$E123="","",MAX(0,'План'!$B$2-'Журнал'!$E123))</f>
      </c>
    </row>
    <row r="124" spans="1:6" x14ac:dyDescent="0.25">
      <c r="A124">
        <v>123</v>
      </c>
      <c r="B124">
        <f>IF('Журнал'!$E123="","",'Журнал'!$E123)</f>
      </c>
      <c r="C124">
        <f>IF('Журнал'!$B124="","",'План'!$B$6)</f>
      </c>
      <c r="D124">
        <f>IF('Журнал'!$B124="","",('Журнал'!$B124+'Журнал'!$C124)*'План'!$B$9)</f>
      </c>
      <c r="E124">
        <f>IF('Журнал'!$B124="","",'Журнал'!$B124+'Журнал'!$C124+'Журнал'!$D124)</f>
      </c>
      <c r="F124">
        <f>IF('Журнал'!$E124="","",MAX(0,'План'!$B$2-'Журнал'!$E124))</f>
      </c>
    </row>
    <row r="125" spans="1:6" x14ac:dyDescent="0.25">
      <c r="A125">
        <v>124</v>
      </c>
      <c r="B125">
        <f>IF('Журнал'!$E124="","",'Журнал'!$E124)</f>
      </c>
      <c r="C125">
        <f>IF('Журнал'!$B125="","",'План'!$B$6)</f>
      </c>
      <c r="D125">
        <f>IF('Журнал'!$B125="","",('Журнал'!$B125+'Журнал'!$C125)*'План'!$B$9)</f>
      </c>
      <c r="E125">
        <f>IF('Журнал'!$B125="","",'Журнал'!$B125+'Журнал'!$C125+'Журнал'!$D125)</f>
      </c>
      <c r="F125">
        <f>IF('Журнал'!$E125="","",MAX(0,'План'!$B$2-'Журнал'!$E125))</f>
      </c>
    </row>
    <row r="126" spans="1:6" x14ac:dyDescent="0.25">
      <c r="A126">
        <v>125</v>
      </c>
      <c r="B126">
        <f>IF('Журнал'!$E125="","",'Журнал'!$E125)</f>
      </c>
      <c r="C126">
        <f>IF('Журнал'!$B126="","",'План'!$B$6)</f>
      </c>
      <c r="D126">
        <f>IF('Журнал'!$B126="","",('Журнал'!$B126+'Журнал'!$C126)*'План'!$B$9)</f>
      </c>
      <c r="E126">
        <f>IF('Журнал'!$B126="","",'Журнал'!$B126+'Журнал'!$C126+'Журнал'!$D126)</f>
      </c>
      <c r="F126">
        <f>IF('Журнал'!$E126="","",MAX(0,'План'!$B$2-'Журнал'!$E126))</f>
      </c>
    </row>
    <row r="127" spans="1:6" x14ac:dyDescent="0.25">
      <c r="A127">
        <v>126</v>
      </c>
      <c r="B127">
        <f>IF('Журнал'!$E126="","",'Журнал'!$E126)</f>
      </c>
      <c r="C127">
        <f>IF('Журнал'!$B127="","",'План'!$B$6)</f>
      </c>
      <c r="D127">
        <f>IF('Журнал'!$B127="","",('Журнал'!$B127+'Журнал'!$C127)*'План'!$B$9)</f>
      </c>
      <c r="E127">
        <f>IF('Журнал'!$B127="","",'Журнал'!$B127+'Журнал'!$C127+'Журнал'!$D127)</f>
      </c>
      <c r="F127">
        <f>IF('Журнал'!$E127="","",MAX(0,'План'!$B$2-'Журнал'!$E127))</f>
      </c>
    </row>
    <row r="128" spans="1:6" x14ac:dyDescent="0.25">
      <c r="A128">
        <v>127</v>
      </c>
      <c r="B128">
        <f>IF('Журнал'!$E127="","",'Журнал'!$E127)</f>
      </c>
      <c r="C128">
        <f>IF('Журнал'!$B128="","",'План'!$B$6)</f>
      </c>
      <c r="D128">
        <f>IF('Журнал'!$B128="","",('Журнал'!$B128+'Журнал'!$C128)*'План'!$B$9)</f>
      </c>
      <c r="E128">
        <f>IF('Журнал'!$B128="","",'Журнал'!$B128+'Журнал'!$C128+'Журнал'!$D128)</f>
      </c>
      <c r="F128">
        <f>IF('Журнал'!$E128="","",MAX(0,'План'!$B$2-'Журнал'!$E128))</f>
      </c>
    </row>
    <row r="129" spans="1:6" x14ac:dyDescent="0.25">
      <c r="A129">
        <v>128</v>
      </c>
      <c r="B129">
        <f>IF('Журнал'!$E128="","",'Журнал'!$E128)</f>
      </c>
      <c r="C129">
        <f>IF('Журнал'!$B129="","",'План'!$B$6)</f>
      </c>
      <c r="D129">
        <f>IF('Журнал'!$B129="","",('Журнал'!$B129+'Журнал'!$C129)*'План'!$B$9)</f>
      </c>
      <c r="E129">
        <f>IF('Журнал'!$B129="","",'Журнал'!$B129+'Журнал'!$C129+'Журнал'!$D129)</f>
      </c>
      <c r="F129">
        <f>IF('Журнал'!$E129="","",MAX(0,'План'!$B$2-'Журнал'!$E129))</f>
      </c>
    </row>
    <row r="130" spans="1:6" x14ac:dyDescent="0.25">
      <c r="A130">
        <v>129</v>
      </c>
      <c r="B130">
        <f>IF('Журнал'!$E129="","",'Журнал'!$E129)</f>
      </c>
      <c r="C130">
        <f>IF('Журнал'!$B130="","",'План'!$B$6)</f>
      </c>
      <c r="D130">
        <f>IF('Журнал'!$B130="","",('Журнал'!$B130+'Журнал'!$C130)*'План'!$B$9)</f>
      </c>
      <c r="E130">
        <f>IF('Журнал'!$B130="","",'Журнал'!$B130+'Журнал'!$C130+'Журнал'!$D130)</f>
      </c>
      <c r="F130">
        <f>IF('Журнал'!$E130="","",MAX(0,'План'!$B$2-'Журнал'!$E130))</f>
      </c>
    </row>
    <row r="131" spans="1:6" x14ac:dyDescent="0.25">
      <c r="A131">
        <v>130</v>
      </c>
      <c r="B131">
        <f>IF('Журнал'!$E130="","",'Журнал'!$E130)</f>
      </c>
      <c r="C131">
        <f>IF('Журнал'!$B131="","",'План'!$B$6)</f>
      </c>
      <c r="D131">
        <f>IF('Журнал'!$B131="","",('Журнал'!$B131+'Журнал'!$C131)*'План'!$B$9)</f>
      </c>
      <c r="E131">
        <f>IF('Журнал'!$B131="","",'Журнал'!$B131+'Журнал'!$C131+'Журнал'!$D131)</f>
      </c>
      <c r="F131">
        <f>IF('Журнал'!$E131="","",MAX(0,'План'!$B$2-'Журнал'!$E131))</f>
      </c>
    </row>
    <row r="132" spans="1:6" x14ac:dyDescent="0.25">
      <c r="A132">
        <v>131</v>
      </c>
      <c r="B132">
        <f>IF('Журнал'!$E131="","",'Журнал'!$E131)</f>
      </c>
      <c r="C132">
        <f>IF('Журнал'!$B132="","",'План'!$B$6)</f>
      </c>
      <c r="D132">
        <f>IF('Журнал'!$B132="","",('Журнал'!$B132+'Журнал'!$C132)*'План'!$B$9)</f>
      </c>
      <c r="E132">
        <f>IF('Журнал'!$B132="","",'Журнал'!$B132+'Журнал'!$C132+'Журнал'!$D132)</f>
      </c>
      <c r="F132">
        <f>IF('Журнал'!$E132="","",MAX(0,'План'!$B$2-'Журнал'!$E132))</f>
      </c>
    </row>
    <row r="133" spans="1:6" x14ac:dyDescent="0.25">
      <c r="A133">
        <v>132</v>
      </c>
      <c r="B133">
        <f>IF('Журнал'!$E132="","",'Журнал'!$E132)</f>
      </c>
      <c r="C133">
        <f>IF('Журнал'!$B133="","",'План'!$B$6)</f>
      </c>
      <c r="D133">
        <f>IF('Журнал'!$B133="","",('Журнал'!$B133+'Журнал'!$C133)*'План'!$B$9)</f>
      </c>
      <c r="E133">
        <f>IF('Журнал'!$B133="","",'Журнал'!$B133+'Журнал'!$C133+'Журнал'!$D133)</f>
      </c>
      <c r="F133">
        <f>IF('Журнал'!$E133="","",MAX(0,'План'!$B$2-'Журнал'!$E133))</f>
      </c>
    </row>
    <row r="134" spans="1:6" x14ac:dyDescent="0.25">
      <c r="A134">
        <v>133</v>
      </c>
      <c r="B134">
        <f>IF('Журнал'!$E133="","",'Журнал'!$E133)</f>
      </c>
      <c r="C134">
        <f>IF('Журнал'!$B134="","",'План'!$B$6)</f>
      </c>
      <c r="D134">
        <f>IF('Журнал'!$B134="","",('Журнал'!$B134+'Журнал'!$C134)*'План'!$B$9)</f>
      </c>
      <c r="E134">
        <f>IF('Журнал'!$B134="","",'Журнал'!$B134+'Журнал'!$C134+'Журнал'!$D134)</f>
      </c>
      <c r="F134">
        <f>IF('Журнал'!$E134="","",MAX(0,'План'!$B$2-'Журнал'!$E134))</f>
      </c>
    </row>
    <row r="135" spans="1:6" x14ac:dyDescent="0.25">
      <c r="A135">
        <v>134</v>
      </c>
      <c r="B135">
        <f>IF('Журнал'!$E134="","",'Журнал'!$E134)</f>
      </c>
      <c r="C135">
        <f>IF('Журнал'!$B135="","",'План'!$B$6)</f>
      </c>
      <c r="D135">
        <f>IF('Журнал'!$B135="","",('Журнал'!$B135+'Журнал'!$C135)*'План'!$B$9)</f>
      </c>
      <c r="E135">
        <f>IF('Журнал'!$B135="","",'Журнал'!$B135+'Журнал'!$C135+'Журнал'!$D135)</f>
      </c>
      <c r="F135">
        <f>IF('Журнал'!$E135="","",MAX(0,'План'!$B$2-'Журнал'!$E135))</f>
      </c>
    </row>
    <row r="136" spans="1:6" x14ac:dyDescent="0.25">
      <c r="A136">
        <v>135</v>
      </c>
      <c r="B136">
        <f>IF('Журнал'!$E135="","",'Журнал'!$E135)</f>
      </c>
      <c r="C136">
        <f>IF('Журнал'!$B136="","",'План'!$B$6)</f>
      </c>
      <c r="D136">
        <f>IF('Журнал'!$B136="","",('Журнал'!$B136+'Журнал'!$C136)*'План'!$B$9)</f>
      </c>
      <c r="E136">
        <f>IF('Журнал'!$B136="","",'Журнал'!$B136+'Журнал'!$C136+'Журнал'!$D136)</f>
      </c>
      <c r="F136">
        <f>IF('Журнал'!$E136="","",MAX(0,'План'!$B$2-'Журнал'!$E136))</f>
      </c>
    </row>
    <row r="137" spans="1:6" x14ac:dyDescent="0.25">
      <c r="A137">
        <v>136</v>
      </c>
      <c r="B137">
        <f>IF('Журнал'!$E136="","",'Журнал'!$E136)</f>
      </c>
      <c r="C137">
        <f>IF('Журнал'!$B137="","",'План'!$B$6)</f>
      </c>
      <c r="D137">
        <f>IF('Журнал'!$B137="","",('Журнал'!$B137+'Журнал'!$C137)*'План'!$B$9)</f>
      </c>
      <c r="E137">
        <f>IF('Журнал'!$B137="","",'Журнал'!$B137+'Журнал'!$C137+'Журнал'!$D137)</f>
      </c>
      <c r="F137">
        <f>IF('Журнал'!$E137="","",MAX(0,'План'!$B$2-'Журнал'!$E137))</f>
      </c>
    </row>
    <row r="138" spans="1:6" x14ac:dyDescent="0.25">
      <c r="A138">
        <v>137</v>
      </c>
      <c r="B138">
        <f>IF('Журнал'!$E137="","",'Журнал'!$E137)</f>
      </c>
      <c r="C138">
        <f>IF('Журнал'!$B138="","",'План'!$B$6)</f>
      </c>
      <c r="D138">
        <f>IF('Журнал'!$B138="","",('Журнал'!$B138+'Журнал'!$C138)*'План'!$B$9)</f>
      </c>
      <c r="E138">
        <f>IF('Журнал'!$B138="","",'Журнал'!$B138+'Журнал'!$C138+'Журнал'!$D138)</f>
      </c>
      <c r="F138">
        <f>IF('Журнал'!$E138="","",MAX(0,'План'!$B$2-'Журнал'!$E138))</f>
      </c>
    </row>
    <row r="139" spans="1:6" x14ac:dyDescent="0.25">
      <c r="A139">
        <v>138</v>
      </c>
      <c r="B139">
        <f>IF('Журнал'!$E138="","",'Журнал'!$E138)</f>
      </c>
      <c r="C139">
        <f>IF('Журнал'!$B139="","",'План'!$B$6)</f>
      </c>
      <c r="D139">
        <f>IF('Журнал'!$B139="","",('Журнал'!$B139+'Журнал'!$C139)*'План'!$B$9)</f>
      </c>
      <c r="E139">
        <f>IF('Журнал'!$B139="","",'Журнал'!$B139+'Журнал'!$C139+'Журнал'!$D139)</f>
      </c>
      <c r="F139">
        <f>IF('Журнал'!$E139="","",MAX(0,'План'!$B$2-'Журнал'!$E139))</f>
      </c>
    </row>
    <row r="140" spans="1:6" x14ac:dyDescent="0.25">
      <c r="A140">
        <v>139</v>
      </c>
      <c r="B140">
        <f>IF('Журнал'!$E139="","",'Журнал'!$E139)</f>
      </c>
      <c r="C140">
        <f>IF('Журнал'!$B140="","",'План'!$B$6)</f>
      </c>
      <c r="D140">
        <f>IF('Журнал'!$B140="","",('Журнал'!$B140+'Журнал'!$C140)*'План'!$B$9)</f>
      </c>
      <c r="E140">
        <f>IF('Журнал'!$B140="","",'Журнал'!$B140+'Журнал'!$C140+'Журнал'!$D140)</f>
      </c>
      <c r="F140">
        <f>IF('Журнал'!$E140="","",MAX(0,'План'!$B$2-'Журнал'!$E140))</f>
      </c>
    </row>
    <row r="141" spans="1:6" x14ac:dyDescent="0.25">
      <c r="A141">
        <v>140</v>
      </c>
      <c r="B141">
        <f>IF('Журнал'!$E140="","",'Журнал'!$E140)</f>
      </c>
      <c r="C141">
        <f>IF('Журнал'!$B141="","",'План'!$B$6)</f>
      </c>
      <c r="D141">
        <f>IF('Журнал'!$B141="","",('Журнал'!$B141+'Журнал'!$C141)*'План'!$B$9)</f>
      </c>
      <c r="E141">
        <f>IF('Журнал'!$B141="","",'Журнал'!$B141+'Журнал'!$C141+'Журнал'!$D141)</f>
      </c>
      <c r="F141">
        <f>IF('Журнал'!$E141="","",MAX(0,'План'!$B$2-'Журнал'!$E141))</f>
      </c>
    </row>
    <row r="142" spans="1:6" x14ac:dyDescent="0.25">
      <c r="A142">
        <v>141</v>
      </c>
      <c r="B142">
        <f>IF('Журнал'!$E141="","",'Журнал'!$E141)</f>
      </c>
      <c r="C142">
        <f>IF('Журнал'!$B142="","",'План'!$B$6)</f>
      </c>
      <c r="D142">
        <f>IF('Журнал'!$B142="","",('Журнал'!$B142+'Журнал'!$C142)*'План'!$B$9)</f>
      </c>
      <c r="E142">
        <f>IF('Журнал'!$B142="","",'Журнал'!$B142+'Журнал'!$C142+'Журнал'!$D142)</f>
      </c>
      <c r="F142">
        <f>IF('Журнал'!$E142="","",MAX(0,'План'!$B$2-'Журнал'!$E142))</f>
      </c>
    </row>
    <row r="143" spans="1:6" x14ac:dyDescent="0.25">
      <c r="A143">
        <v>142</v>
      </c>
      <c r="B143">
        <f>IF('Журнал'!$E142="","",'Журнал'!$E142)</f>
      </c>
      <c r="C143">
        <f>IF('Журнал'!$B143="","",'План'!$B$6)</f>
      </c>
      <c r="D143">
        <f>IF('Журнал'!$B143="","",('Журнал'!$B143+'Журнал'!$C143)*'План'!$B$9)</f>
      </c>
      <c r="E143">
        <f>IF('Журнал'!$B143="","",'Журнал'!$B143+'Журнал'!$C143+'Журнал'!$D143)</f>
      </c>
      <c r="F143">
        <f>IF('Журнал'!$E143="","",MAX(0,'План'!$B$2-'Журнал'!$E143))</f>
      </c>
    </row>
    <row r="144" spans="1:6" x14ac:dyDescent="0.25">
      <c r="A144">
        <v>143</v>
      </c>
      <c r="B144">
        <f>IF('Журнал'!$E143="","",'Журнал'!$E143)</f>
      </c>
      <c r="C144">
        <f>IF('Журнал'!$B144="","",'План'!$B$6)</f>
      </c>
      <c r="D144">
        <f>IF('Журнал'!$B144="","",('Журнал'!$B144+'Журнал'!$C144)*'План'!$B$9)</f>
      </c>
      <c r="E144">
        <f>IF('Журнал'!$B144="","",'Журнал'!$B144+'Журнал'!$C144+'Журнал'!$D144)</f>
      </c>
      <c r="F144">
        <f>IF('Журнал'!$E144="","",MAX(0,'План'!$B$2-'Журнал'!$E144))</f>
      </c>
    </row>
    <row r="145" spans="1:6" x14ac:dyDescent="0.25">
      <c r="A145">
        <v>144</v>
      </c>
      <c r="B145">
        <f>IF('Журнал'!$E144="","",'Журнал'!$E144)</f>
      </c>
      <c r="C145">
        <f>IF('Журнал'!$B145="","",'План'!$B$6)</f>
      </c>
      <c r="D145">
        <f>IF('Журнал'!$B145="","",('Журнал'!$B145+'Журнал'!$C145)*'План'!$B$9)</f>
      </c>
      <c r="E145">
        <f>IF('Журнал'!$B145="","",'Журнал'!$B145+'Журнал'!$C145+'Журнал'!$D145)</f>
      </c>
      <c r="F145">
        <f>IF('Журнал'!$E145="","",MAX(0,'План'!$B$2-'Журнал'!$E145))</f>
      </c>
    </row>
    <row r="146" spans="1:6" x14ac:dyDescent="0.25">
      <c r="A146">
        <v>145</v>
      </c>
      <c r="B146">
        <f>IF('Журнал'!$E145="","",'Журнал'!$E145)</f>
      </c>
      <c r="C146">
        <f>IF('Журнал'!$B146="","",'План'!$B$6)</f>
      </c>
      <c r="D146">
        <f>IF('Журнал'!$B146="","",('Журнал'!$B146+'Журнал'!$C146)*'План'!$B$9)</f>
      </c>
      <c r="E146">
        <f>IF('Журнал'!$B146="","",'Журнал'!$B146+'Журнал'!$C146+'Журнал'!$D146)</f>
      </c>
      <c r="F146">
        <f>IF('Журнал'!$E146="","",MAX(0,'План'!$B$2-'Журнал'!$E146))</f>
      </c>
    </row>
    <row r="147" spans="1:6" x14ac:dyDescent="0.25">
      <c r="A147">
        <v>146</v>
      </c>
      <c r="B147">
        <f>IF('Журнал'!$E146="","",'Журнал'!$E146)</f>
      </c>
      <c r="C147">
        <f>IF('Журнал'!$B147="","",'План'!$B$6)</f>
      </c>
      <c r="D147">
        <f>IF('Журнал'!$B147="","",('Журнал'!$B147+'Журнал'!$C147)*'План'!$B$9)</f>
      </c>
      <c r="E147">
        <f>IF('Журнал'!$B147="","",'Журнал'!$B147+'Журнал'!$C147+'Журнал'!$D147)</f>
      </c>
      <c r="F147">
        <f>IF('Журнал'!$E147="","",MAX(0,'План'!$B$2-'Журнал'!$E147))</f>
      </c>
    </row>
    <row r="148" spans="1:6" x14ac:dyDescent="0.25">
      <c r="A148">
        <v>147</v>
      </c>
      <c r="B148">
        <f>IF('Журнал'!$E147="","",'Журнал'!$E147)</f>
      </c>
      <c r="C148">
        <f>IF('Журнал'!$B148="","",'План'!$B$6)</f>
      </c>
      <c r="D148">
        <f>IF('Журнал'!$B148="","",('Журнал'!$B148+'Журнал'!$C148)*'План'!$B$9)</f>
      </c>
      <c r="E148">
        <f>IF('Журнал'!$B148="","",'Журнал'!$B148+'Журнал'!$C148+'Журнал'!$D148)</f>
      </c>
      <c r="F148">
        <f>IF('Журнал'!$E148="","",MAX(0,'План'!$B$2-'Журнал'!$E148))</f>
      </c>
    </row>
    <row r="149" spans="1:6" x14ac:dyDescent="0.25">
      <c r="A149">
        <v>148</v>
      </c>
      <c r="B149">
        <f>IF('Журнал'!$E148="","",'Журнал'!$E148)</f>
      </c>
      <c r="C149">
        <f>IF('Журнал'!$B149="","",'План'!$B$6)</f>
      </c>
      <c r="D149">
        <f>IF('Журнал'!$B149="","",('Журнал'!$B149+'Журнал'!$C149)*'План'!$B$9)</f>
      </c>
      <c r="E149">
        <f>IF('Журнал'!$B149="","",'Журнал'!$B149+'Журнал'!$C149+'Журнал'!$D149)</f>
      </c>
      <c r="F149">
        <f>IF('Журнал'!$E149="","",MAX(0,'План'!$B$2-'Журнал'!$E149))</f>
      </c>
    </row>
    <row r="150" spans="1:6" x14ac:dyDescent="0.25">
      <c r="A150">
        <v>149</v>
      </c>
      <c r="B150">
        <f>IF('Журнал'!$E149="","",'Журнал'!$E149)</f>
      </c>
      <c r="C150">
        <f>IF('Журнал'!$B150="","",'План'!$B$6)</f>
      </c>
      <c r="D150">
        <f>IF('Журнал'!$B150="","",('Журнал'!$B150+'Журнал'!$C150)*'План'!$B$9)</f>
      </c>
      <c r="E150">
        <f>IF('Журнал'!$B150="","",'Журнал'!$B150+'Журнал'!$C150+'Журнал'!$D150)</f>
      </c>
      <c r="F150">
        <f>IF('Журнал'!$E150="","",MAX(0,'План'!$B$2-'Журнал'!$E150))</f>
      </c>
    </row>
    <row r="151" spans="1:6" x14ac:dyDescent="0.25">
      <c r="A151">
        <v>150</v>
      </c>
      <c r="B151">
        <f>IF('Журнал'!$E150="","",'Журнал'!$E150)</f>
      </c>
      <c r="C151">
        <f>IF('Журнал'!$B151="","",'План'!$B$6)</f>
      </c>
      <c r="D151">
        <f>IF('Журнал'!$B151="","",('Журнал'!$B151+'Журнал'!$C151)*'План'!$B$9)</f>
      </c>
      <c r="E151">
        <f>IF('Журнал'!$B151="","",'Журнал'!$B151+'Журнал'!$C151+'Журнал'!$D151)</f>
      </c>
      <c r="F151">
        <f>IF('Журнал'!$E151="","",MAX(0,'План'!$B$2-'Журнал'!$E151))</f>
      </c>
    </row>
    <row r="152" spans="1:6" x14ac:dyDescent="0.25">
      <c r="A152">
        <v>151</v>
      </c>
      <c r="B152">
        <f>IF('Журнал'!$E151="","",'Журнал'!$E151)</f>
      </c>
      <c r="C152">
        <f>IF('Журнал'!$B152="","",'План'!$B$6)</f>
      </c>
      <c r="D152">
        <f>IF('Журнал'!$B152="","",('Журнал'!$B152+'Журнал'!$C152)*'План'!$B$9)</f>
      </c>
      <c r="E152">
        <f>IF('Журнал'!$B152="","",'Журнал'!$B152+'Журнал'!$C152+'Журнал'!$D152)</f>
      </c>
      <c r="F152">
        <f>IF('Журнал'!$E152="","",MAX(0,'План'!$B$2-'Журнал'!$E152))</f>
      </c>
    </row>
    <row r="153" spans="1:6" x14ac:dyDescent="0.25">
      <c r="A153">
        <v>152</v>
      </c>
      <c r="B153">
        <f>IF('Журнал'!$E152="","",'Журнал'!$E152)</f>
      </c>
      <c r="C153">
        <f>IF('Журнал'!$B153="","",'План'!$B$6)</f>
      </c>
      <c r="D153">
        <f>IF('Журнал'!$B153="","",('Журнал'!$B153+'Журнал'!$C153)*'План'!$B$9)</f>
      </c>
      <c r="E153">
        <f>IF('Журнал'!$B153="","",'Журнал'!$B153+'Журнал'!$C153+'Журнал'!$D153)</f>
      </c>
      <c r="F153">
        <f>IF('Журнал'!$E153="","",MAX(0,'План'!$B$2-'Журнал'!$E153))</f>
      </c>
    </row>
    <row r="154" spans="1:6" x14ac:dyDescent="0.25">
      <c r="A154">
        <v>153</v>
      </c>
      <c r="B154">
        <f>IF('Журнал'!$E153="","",'Журнал'!$E153)</f>
      </c>
      <c r="C154">
        <f>IF('Журнал'!$B154="","",'План'!$B$6)</f>
      </c>
      <c r="D154">
        <f>IF('Журнал'!$B154="","",('Журнал'!$B154+'Журнал'!$C154)*'План'!$B$9)</f>
      </c>
      <c r="E154">
        <f>IF('Журнал'!$B154="","",'Журнал'!$B154+'Журнал'!$C154+'Журнал'!$D154)</f>
      </c>
      <c r="F154">
        <f>IF('Журнал'!$E154="","",MAX(0,'План'!$B$2-'Журнал'!$E154))</f>
      </c>
    </row>
    <row r="155" spans="1:6" x14ac:dyDescent="0.25">
      <c r="A155">
        <v>154</v>
      </c>
      <c r="B155">
        <f>IF('Журнал'!$E154="","",'Журнал'!$E154)</f>
      </c>
      <c r="C155">
        <f>IF('Журнал'!$B155="","",'План'!$B$6)</f>
      </c>
      <c r="D155">
        <f>IF('Журнал'!$B155="","",('Журнал'!$B155+'Журнал'!$C155)*'План'!$B$9)</f>
      </c>
      <c r="E155">
        <f>IF('Журнал'!$B155="","",'Журнал'!$B155+'Журнал'!$C155+'Журнал'!$D155)</f>
      </c>
      <c r="F155">
        <f>IF('Журнал'!$E155="","",MAX(0,'План'!$B$2-'Журнал'!$E155))</f>
      </c>
    </row>
    <row r="156" spans="1:6" x14ac:dyDescent="0.25">
      <c r="A156">
        <v>155</v>
      </c>
      <c r="B156">
        <f>IF('Журнал'!$E155="","",'Журнал'!$E155)</f>
      </c>
      <c r="C156">
        <f>IF('Журнал'!$B156="","",'План'!$B$6)</f>
      </c>
      <c r="D156">
        <f>IF('Журнал'!$B156="","",('Журнал'!$B156+'Журнал'!$C156)*'План'!$B$9)</f>
      </c>
      <c r="E156">
        <f>IF('Журнал'!$B156="","",'Журнал'!$B156+'Журнал'!$C156+'Журнал'!$D156)</f>
      </c>
      <c r="F156">
        <f>IF('Журнал'!$E156="","",MAX(0,'План'!$B$2-'Журнал'!$E156))</f>
      </c>
    </row>
    <row r="157" spans="1:6" x14ac:dyDescent="0.25">
      <c r="A157">
        <v>156</v>
      </c>
      <c r="B157">
        <f>IF('Журнал'!$E156="","",'Журнал'!$E156)</f>
      </c>
      <c r="C157">
        <f>IF('Журнал'!$B157="","",'План'!$B$6)</f>
      </c>
      <c r="D157">
        <f>IF('Журнал'!$B157="","",('Журнал'!$B157+'Журнал'!$C157)*'План'!$B$9)</f>
      </c>
      <c r="E157">
        <f>IF('Журнал'!$B157="","",'Журнал'!$B157+'Журнал'!$C157+'Журнал'!$D157)</f>
      </c>
      <c r="F157">
        <f>IF('Журнал'!$E157="","",MAX(0,'План'!$B$2-'Журнал'!$E157))</f>
      </c>
    </row>
    <row r="158" spans="1:6" x14ac:dyDescent="0.25">
      <c r="A158">
        <v>157</v>
      </c>
      <c r="B158">
        <f>IF('Журнал'!$E157="","",'Журнал'!$E157)</f>
      </c>
      <c r="C158">
        <f>IF('Журнал'!$B158="","",'План'!$B$6)</f>
      </c>
      <c r="D158">
        <f>IF('Журнал'!$B158="","",('Журнал'!$B158+'Журнал'!$C158)*'План'!$B$9)</f>
      </c>
      <c r="E158">
        <f>IF('Журнал'!$B158="","",'Журнал'!$B158+'Журнал'!$C158+'Журнал'!$D158)</f>
      </c>
      <c r="F158">
        <f>IF('Журнал'!$E158="","",MAX(0,'План'!$B$2-'Журнал'!$E158))</f>
      </c>
    </row>
    <row r="159" spans="1:6" x14ac:dyDescent="0.25">
      <c r="A159">
        <v>158</v>
      </c>
      <c r="B159">
        <f>IF('Журнал'!$E158="","",'Журнал'!$E158)</f>
      </c>
      <c r="C159">
        <f>IF('Журнал'!$B159="","",'План'!$B$6)</f>
      </c>
      <c r="D159">
        <f>IF('Журнал'!$B159="","",('Журнал'!$B159+'Журнал'!$C159)*'План'!$B$9)</f>
      </c>
      <c r="E159">
        <f>IF('Журнал'!$B159="","",'Журнал'!$B159+'Журнал'!$C159+'Журнал'!$D159)</f>
      </c>
      <c r="F159">
        <f>IF('Журнал'!$E159="","",MAX(0,'План'!$B$2-'Журнал'!$E159))</f>
      </c>
    </row>
    <row r="160" spans="1:6" x14ac:dyDescent="0.25">
      <c r="A160">
        <v>159</v>
      </c>
      <c r="B160">
        <f>IF('Журнал'!$E159="","",'Журнал'!$E159)</f>
      </c>
      <c r="C160">
        <f>IF('Журнал'!$B160="","",'План'!$B$6)</f>
      </c>
      <c r="D160">
        <f>IF('Журнал'!$B160="","",('Журнал'!$B160+'Журнал'!$C160)*'План'!$B$9)</f>
      </c>
      <c r="E160">
        <f>IF('Журнал'!$B160="","",'Журнал'!$B160+'Журнал'!$C160+'Журнал'!$D160)</f>
      </c>
      <c r="F160">
        <f>IF('Журнал'!$E160="","",MAX(0,'План'!$B$2-'Журнал'!$E160))</f>
      </c>
    </row>
    <row r="161" spans="1:6" x14ac:dyDescent="0.25">
      <c r="A161">
        <v>160</v>
      </c>
      <c r="B161">
        <f>IF('Журнал'!$E160="","",'Журнал'!$E160)</f>
      </c>
      <c r="C161">
        <f>IF('Журнал'!$B161="","",'План'!$B$6)</f>
      </c>
      <c r="D161">
        <f>IF('Журнал'!$B161="","",('Журнал'!$B161+'Журнал'!$C161)*'План'!$B$9)</f>
      </c>
      <c r="E161">
        <f>IF('Журнал'!$B161="","",'Журнал'!$B161+'Журнал'!$C161+'Журнал'!$D161)</f>
      </c>
      <c r="F161">
        <f>IF('Журнал'!$E161="","",MAX(0,'План'!$B$2-'Журнал'!$E161))</f>
      </c>
    </row>
    <row r="162" spans="1:6" x14ac:dyDescent="0.25">
      <c r="A162">
        <v>161</v>
      </c>
      <c r="B162">
        <f>IF('Журнал'!$E161="","",'Журнал'!$E161)</f>
      </c>
      <c r="C162">
        <f>IF('Журнал'!$B162="","",'План'!$B$6)</f>
      </c>
      <c r="D162">
        <f>IF('Журнал'!$B162="","",('Журнал'!$B162+'Журнал'!$C162)*'План'!$B$9)</f>
      </c>
      <c r="E162">
        <f>IF('Журнал'!$B162="","",'Журнал'!$B162+'Журнал'!$C162+'Журнал'!$D162)</f>
      </c>
      <c r="F162">
        <f>IF('Журнал'!$E162="","",MAX(0,'План'!$B$2-'Журнал'!$E162))</f>
      </c>
    </row>
    <row r="163" spans="1:6" x14ac:dyDescent="0.25">
      <c r="A163">
        <v>162</v>
      </c>
      <c r="B163">
        <f>IF('Журнал'!$E162="","",'Журнал'!$E162)</f>
      </c>
      <c r="C163">
        <f>IF('Журнал'!$B163="","",'План'!$B$6)</f>
      </c>
      <c r="D163">
        <f>IF('Журнал'!$B163="","",('Журнал'!$B163+'Журнал'!$C163)*'План'!$B$9)</f>
      </c>
      <c r="E163">
        <f>IF('Журнал'!$B163="","",'Журнал'!$B163+'Журнал'!$C163+'Журнал'!$D163)</f>
      </c>
      <c r="F163">
        <f>IF('Журнал'!$E163="","",MAX(0,'План'!$B$2-'Журнал'!$E163))</f>
      </c>
    </row>
    <row r="164" spans="1:6" x14ac:dyDescent="0.25">
      <c r="A164">
        <v>163</v>
      </c>
      <c r="B164">
        <f>IF('Журнал'!$E163="","",'Журнал'!$E163)</f>
      </c>
      <c r="C164">
        <f>IF('Журнал'!$B164="","",'План'!$B$6)</f>
      </c>
      <c r="D164">
        <f>IF('Журнал'!$B164="","",('Журнал'!$B164+'Журнал'!$C164)*'План'!$B$9)</f>
      </c>
      <c r="E164">
        <f>IF('Журнал'!$B164="","",'Журнал'!$B164+'Журнал'!$C164+'Журнал'!$D164)</f>
      </c>
      <c r="F164">
        <f>IF('Журнал'!$E164="","",MAX(0,'План'!$B$2-'Журнал'!$E164))</f>
      </c>
    </row>
    <row r="165" spans="1:6" x14ac:dyDescent="0.25">
      <c r="A165">
        <v>164</v>
      </c>
      <c r="B165">
        <f>IF('Журнал'!$E164="","",'Журнал'!$E164)</f>
      </c>
      <c r="C165">
        <f>IF('Журнал'!$B165="","",'План'!$B$6)</f>
      </c>
      <c r="D165">
        <f>IF('Журнал'!$B165="","",('Журнал'!$B165+'Журнал'!$C165)*'План'!$B$9)</f>
      </c>
      <c r="E165">
        <f>IF('Журнал'!$B165="","",'Журнал'!$B165+'Журнал'!$C165+'Журнал'!$D165)</f>
      </c>
      <c r="F165">
        <f>IF('Журнал'!$E165="","",MAX(0,'План'!$B$2-'Журнал'!$E165))</f>
      </c>
    </row>
    <row r="166" spans="1:6" x14ac:dyDescent="0.25">
      <c r="A166">
        <v>165</v>
      </c>
      <c r="B166">
        <f>IF('Журнал'!$E165="","",'Журнал'!$E165)</f>
      </c>
      <c r="C166">
        <f>IF('Журнал'!$B166="","",'План'!$B$6)</f>
      </c>
      <c r="D166">
        <f>IF('Журнал'!$B166="","",('Журнал'!$B166+'Журнал'!$C166)*'План'!$B$9)</f>
      </c>
      <c r="E166">
        <f>IF('Журнал'!$B166="","",'Журнал'!$B166+'Журнал'!$C166+'Журнал'!$D166)</f>
      </c>
      <c r="F166">
        <f>IF('Журнал'!$E166="","",MAX(0,'План'!$B$2-'Журнал'!$E166))</f>
      </c>
    </row>
    <row r="167" spans="1:6" x14ac:dyDescent="0.25">
      <c r="A167">
        <v>166</v>
      </c>
      <c r="B167">
        <f>IF('Журнал'!$E166="","",'Журнал'!$E166)</f>
      </c>
      <c r="C167">
        <f>IF('Журнал'!$B167="","",'План'!$B$6)</f>
      </c>
      <c r="D167">
        <f>IF('Журнал'!$B167="","",('Журнал'!$B167+'Журнал'!$C167)*'План'!$B$9)</f>
      </c>
      <c r="E167">
        <f>IF('Журнал'!$B167="","",'Журнал'!$B167+'Журнал'!$C167+'Журнал'!$D167)</f>
      </c>
      <c r="F167">
        <f>IF('Журнал'!$E167="","",MAX(0,'План'!$B$2-'Журнал'!$E167))</f>
      </c>
    </row>
    <row r="168" spans="1:6" x14ac:dyDescent="0.25">
      <c r="A168">
        <v>167</v>
      </c>
      <c r="B168">
        <f>IF('Журнал'!$E167="","",'Журнал'!$E167)</f>
      </c>
      <c r="C168">
        <f>IF('Журнал'!$B168="","",'План'!$B$6)</f>
      </c>
      <c r="D168">
        <f>IF('Журнал'!$B168="","",('Журнал'!$B168+'Журнал'!$C168)*'План'!$B$9)</f>
      </c>
      <c r="E168">
        <f>IF('Журнал'!$B168="","",'Журнал'!$B168+'Журнал'!$C168+'Журнал'!$D168)</f>
      </c>
      <c r="F168">
        <f>IF('Журнал'!$E168="","",MAX(0,'План'!$B$2-'Журнал'!$E168))</f>
      </c>
    </row>
    <row r="169" spans="1:6" x14ac:dyDescent="0.25">
      <c r="A169">
        <v>168</v>
      </c>
      <c r="B169">
        <f>IF('Журнал'!$E168="","",'Журнал'!$E168)</f>
      </c>
      <c r="C169">
        <f>IF('Журнал'!$B169="","",'План'!$B$6)</f>
      </c>
      <c r="D169">
        <f>IF('Журнал'!$B169="","",('Журнал'!$B169+'Журнал'!$C169)*'План'!$B$9)</f>
      </c>
      <c r="E169">
        <f>IF('Журнал'!$B169="","",'Журнал'!$B169+'Журнал'!$C169+'Журнал'!$D169)</f>
      </c>
      <c r="F169">
        <f>IF('Журнал'!$E169="","",MAX(0,'План'!$B$2-'Журнал'!$E169))</f>
      </c>
    </row>
    <row r="170" spans="1:6" x14ac:dyDescent="0.25">
      <c r="A170">
        <v>169</v>
      </c>
      <c r="B170">
        <f>IF('Журнал'!$E169="","",'Журнал'!$E169)</f>
      </c>
      <c r="C170">
        <f>IF('Журнал'!$B170="","",'План'!$B$6)</f>
      </c>
      <c r="D170">
        <f>IF('Журнал'!$B170="","",('Журнал'!$B170+'Журнал'!$C170)*'План'!$B$9)</f>
      </c>
      <c r="E170">
        <f>IF('Журнал'!$B170="","",'Журнал'!$B170+'Журнал'!$C170+'Журнал'!$D170)</f>
      </c>
      <c r="F170">
        <f>IF('Журнал'!$E170="","",MAX(0,'План'!$B$2-'Журнал'!$E170))</f>
      </c>
    </row>
    <row r="171" spans="1:6" x14ac:dyDescent="0.25">
      <c r="A171">
        <v>170</v>
      </c>
      <c r="B171">
        <f>IF('Журнал'!$E170="","",'Журнал'!$E170)</f>
      </c>
      <c r="C171">
        <f>IF('Журнал'!$B171="","",'План'!$B$6)</f>
      </c>
      <c r="D171">
        <f>IF('Журнал'!$B171="","",('Журнал'!$B171+'Журнал'!$C171)*'План'!$B$9)</f>
      </c>
      <c r="E171">
        <f>IF('Журнал'!$B171="","",'Журнал'!$B171+'Журнал'!$C171+'Журнал'!$D171)</f>
      </c>
      <c r="F171">
        <f>IF('Журнал'!$E171="","",MAX(0,'План'!$B$2-'Журнал'!$E171))</f>
      </c>
    </row>
    <row r="172" spans="1:6" x14ac:dyDescent="0.25">
      <c r="A172">
        <v>171</v>
      </c>
      <c r="B172">
        <f>IF('Журнал'!$E171="","",'Журнал'!$E171)</f>
      </c>
      <c r="C172">
        <f>IF('Журнал'!$B172="","",'План'!$B$6)</f>
      </c>
      <c r="D172">
        <f>IF('Журнал'!$B172="","",('Журнал'!$B172+'Журнал'!$C172)*'План'!$B$9)</f>
      </c>
      <c r="E172">
        <f>IF('Журнал'!$B172="","",'Журнал'!$B172+'Журнал'!$C172+'Журнал'!$D172)</f>
      </c>
      <c r="F172">
        <f>IF('Журнал'!$E172="","",MAX(0,'План'!$B$2-'Журнал'!$E172))</f>
      </c>
    </row>
    <row r="173" spans="1:6" x14ac:dyDescent="0.25">
      <c r="A173">
        <v>172</v>
      </c>
      <c r="B173">
        <f>IF('Журнал'!$E172="","",'Журнал'!$E172)</f>
      </c>
      <c r="C173">
        <f>IF('Журнал'!$B173="","",'План'!$B$6)</f>
      </c>
      <c r="D173">
        <f>IF('Журнал'!$B173="","",('Журнал'!$B173+'Журнал'!$C173)*'План'!$B$9)</f>
      </c>
      <c r="E173">
        <f>IF('Журнал'!$B173="","",'Журнал'!$B173+'Журнал'!$C173+'Журнал'!$D173)</f>
      </c>
      <c r="F173">
        <f>IF('Журнал'!$E173="","",MAX(0,'План'!$B$2-'Журнал'!$E173))</f>
      </c>
    </row>
    <row r="174" spans="1:6" x14ac:dyDescent="0.25">
      <c r="A174">
        <v>173</v>
      </c>
      <c r="B174">
        <f>IF('Журнал'!$E173="","",'Журнал'!$E173)</f>
      </c>
      <c r="C174">
        <f>IF('Журнал'!$B174="","",'План'!$B$6)</f>
      </c>
      <c r="D174">
        <f>IF('Журнал'!$B174="","",('Журнал'!$B174+'Журнал'!$C174)*'План'!$B$9)</f>
      </c>
      <c r="E174">
        <f>IF('Журнал'!$B174="","",'Журнал'!$B174+'Журнал'!$C174+'Журнал'!$D174)</f>
      </c>
      <c r="F174">
        <f>IF('Журнал'!$E174="","",MAX(0,'План'!$B$2-'Журнал'!$E174))</f>
      </c>
    </row>
    <row r="175" spans="1:6" x14ac:dyDescent="0.25">
      <c r="A175">
        <v>174</v>
      </c>
      <c r="B175">
        <f>IF('Журнал'!$E174="","",'Журнал'!$E174)</f>
      </c>
      <c r="C175">
        <f>IF('Журнал'!$B175="","",'План'!$B$6)</f>
      </c>
      <c r="D175">
        <f>IF('Журнал'!$B175="","",('Журнал'!$B175+'Журнал'!$C175)*'План'!$B$9)</f>
      </c>
      <c r="E175">
        <f>IF('Журнал'!$B175="","",'Журнал'!$B175+'Журнал'!$C175+'Журнал'!$D175)</f>
      </c>
      <c r="F175">
        <f>IF('Журнал'!$E175="","",MAX(0,'План'!$B$2-'Журнал'!$E175))</f>
      </c>
    </row>
    <row r="176" spans="1:6" x14ac:dyDescent="0.25">
      <c r="A176">
        <v>175</v>
      </c>
      <c r="B176">
        <f>IF('Журнал'!$E175="","",'Журнал'!$E175)</f>
      </c>
      <c r="C176">
        <f>IF('Журнал'!$B176="","",'План'!$B$6)</f>
      </c>
      <c r="D176">
        <f>IF('Журнал'!$B176="","",('Журнал'!$B176+'Журнал'!$C176)*'План'!$B$9)</f>
      </c>
      <c r="E176">
        <f>IF('Журнал'!$B176="","",'Журнал'!$B176+'Журнал'!$C176+'Журнал'!$D176)</f>
      </c>
      <c r="F176">
        <f>IF('Журнал'!$E176="","",MAX(0,'План'!$B$2-'Журнал'!$E176))</f>
      </c>
    </row>
    <row r="177" spans="1:6" x14ac:dyDescent="0.25">
      <c r="A177">
        <v>176</v>
      </c>
      <c r="B177">
        <f>IF('Журнал'!$E176="","",'Журнал'!$E176)</f>
      </c>
      <c r="C177">
        <f>IF('Журнал'!$B177="","",'План'!$B$6)</f>
      </c>
      <c r="D177">
        <f>IF('Журнал'!$B177="","",('Журнал'!$B177+'Журнал'!$C177)*'План'!$B$9)</f>
      </c>
      <c r="E177">
        <f>IF('Журнал'!$B177="","",'Журнал'!$B177+'Журнал'!$C177+'Журнал'!$D177)</f>
      </c>
      <c r="F177">
        <f>IF('Журнал'!$E177="","",MAX(0,'План'!$B$2-'Журнал'!$E177))</f>
      </c>
    </row>
    <row r="178" spans="1:6" x14ac:dyDescent="0.25">
      <c r="A178">
        <v>177</v>
      </c>
      <c r="B178">
        <f>IF('Журнал'!$E177="","",'Журнал'!$E177)</f>
      </c>
      <c r="C178">
        <f>IF('Журнал'!$B178="","",'План'!$B$6)</f>
      </c>
      <c r="D178">
        <f>IF('Журнал'!$B178="","",('Журнал'!$B178+'Журнал'!$C178)*'План'!$B$9)</f>
      </c>
      <c r="E178">
        <f>IF('Журнал'!$B178="","",'Журнал'!$B178+'Журнал'!$C178+'Журнал'!$D178)</f>
      </c>
      <c r="F178">
        <f>IF('Журнал'!$E178="","",MAX(0,'План'!$B$2-'Журнал'!$E178))</f>
      </c>
    </row>
    <row r="179" spans="1:6" x14ac:dyDescent="0.25">
      <c r="A179">
        <v>178</v>
      </c>
      <c r="B179">
        <f>IF('Журнал'!$E178="","",'Журнал'!$E178)</f>
      </c>
      <c r="C179">
        <f>IF('Журнал'!$B179="","",'План'!$B$6)</f>
      </c>
      <c r="D179">
        <f>IF('Журнал'!$B179="","",('Журнал'!$B179+'Журнал'!$C179)*'План'!$B$9)</f>
      </c>
      <c r="E179">
        <f>IF('Журнал'!$B179="","",'Журнал'!$B179+'Журнал'!$C179+'Журнал'!$D179)</f>
      </c>
      <c r="F179">
        <f>IF('Журнал'!$E179="","",MAX(0,'План'!$B$2-'Журнал'!$E179))</f>
      </c>
    </row>
    <row r="180" spans="1:6" x14ac:dyDescent="0.25">
      <c r="A180">
        <v>179</v>
      </c>
      <c r="B180">
        <f>IF('Журнал'!$E179="","",'Журнал'!$E179)</f>
      </c>
      <c r="C180">
        <f>IF('Журнал'!$B180="","",'План'!$B$6)</f>
      </c>
      <c r="D180">
        <f>IF('Журнал'!$B180="","",('Журнал'!$B180+'Журнал'!$C180)*'План'!$B$9)</f>
      </c>
      <c r="E180">
        <f>IF('Журнал'!$B180="","",'Журнал'!$B180+'Журнал'!$C180+'Журнал'!$D180)</f>
      </c>
      <c r="F180">
        <f>IF('Журнал'!$E180="","",MAX(0,'План'!$B$2-'Журнал'!$E180))</f>
      </c>
    </row>
    <row r="181" spans="1:6" x14ac:dyDescent="0.25">
      <c r="A181">
        <v>180</v>
      </c>
      <c r="B181">
        <f>IF('Журнал'!$E180="","",'Журнал'!$E180)</f>
      </c>
      <c r="C181">
        <f>IF('Журнал'!$B181="","",'План'!$B$6)</f>
      </c>
      <c r="D181">
        <f>IF('Журнал'!$B181="","",('Журнал'!$B181+'Журнал'!$C181)*'План'!$B$9)</f>
      </c>
      <c r="E181">
        <f>IF('Журнал'!$B181="","",'Журнал'!$B181+'Журнал'!$C181+'Журнал'!$D181)</f>
      </c>
      <c r="F181">
        <f>IF('Журнал'!$E181="","",MAX(0,'План'!$B$2-'Журнал'!$E181))</f>
      </c>
    </row>
    <row r="182" spans="1:6" x14ac:dyDescent="0.25">
      <c r="A182">
        <v>181</v>
      </c>
      <c r="B182">
        <f>IF('Журнал'!$E181="","",'Журнал'!$E181)</f>
      </c>
      <c r="C182">
        <f>IF('Журнал'!$B182="","",'План'!$B$6)</f>
      </c>
      <c r="D182">
        <f>IF('Журнал'!$B182="","",('Журнал'!$B182+'Журнал'!$C182)*'План'!$B$9)</f>
      </c>
      <c r="E182">
        <f>IF('Журнал'!$B182="","",'Журнал'!$B182+'Журнал'!$C182+'Журнал'!$D182)</f>
      </c>
      <c r="F182">
        <f>IF('Журнал'!$E182="","",MAX(0,'План'!$B$2-'Журнал'!$E182))</f>
      </c>
    </row>
    <row r="183" spans="1:6" x14ac:dyDescent="0.25">
      <c r="A183">
        <v>182</v>
      </c>
      <c r="B183">
        <f>IF('Журнал'!$E182="","",'Журнал'!$E182)</f>
      </c>
      <c r="C183">
        <f>IF('Журнал'!$B183="","",'План'!$B$6)</f>
      </c>
      <c r="D183">
        <f>IF('Журнал'!$B183="","",('Журнал'!$B183+'Журнал'!$C183)*'План'!$B$9)</f>
      </c>
      <c r="E183">
        <f>IF('Журнал'!$B183="","",'Журнал'!$B183+'Журнал'!$C183+'Журнал'!$D183)</f>
      </c>
      <c r="F183">
        <f>IF('Журнал'!$E183="","",MAX(0,'План'!$B$2-'Журнал'!$E183))</f>
      </c>
    </row>
    <row r="184" spans="1:6" x14ac:dyDescent="0.25">
      <c r="A184">
        <v>183</v>
      </c>
      <c r="B184">
        <f>IF('Журнал'!$E183="","",'Журнал'!$E183)</f>
      </c>
      <c r="C184">
        <f>IF('Журнал'!$B184="","",'План'!$B$6)</f>
      </c>
      <c r="D184">
        <f>IF('Журнал'!$B184="","",('Журнал'!$B184+'Журнал'!$C184)*'План'!$B$9)</f>
      </c>
      <c r="E184">
        <f>IF('Журнал'!$B184="","",'Журнал'!$B184+'Журнал'!$C184+'Журнал'!$D184)</f>
      </c>
      <c r="F184">
        <f>IF('Журнал'!$E184="","",MAX(0,'План'!$B$2-'Журнал'!$E184))</f>
      </c>
    </row>
    <row r="185" spans="1:6" x14ac:dyDescent="0.25">
      <c r="A185">
        <v>184</v>
      </c>
      <c r="B185">
        <f>IF('Журнал'!$E184="","",'Журнал'!$E184)</f>
      </c>
      <c r="C185">
        <f>IF('Журнал'!$B185="","",'План'!$B$6)</f>
      </c>
      <c r="D185">
        <f>IF('Журнал'!$B185="","",('Журнал'!$B185+'Журнал'!$C185)*'План'!$B$9)</f>
      </c>
      <c r="E185">
        <f>IF('Журнал'!$B185="","",'Журнал'!$B185+'Журнал'!$C185+'Журнал'!$D185)</f>
      </c>
      <c r="F185">
        <f>IF('Журнал'!$E185="","",MAX(0,'План'!$B$2-'Журнал'!$E185))</f>
      </c>
    </row>
    <row r="186" spans="1:6" x14ac:dyDescent="0.25">
      <c r="A186">
        <v>185</v>
      </c>
      <c r="B186">
        <f>IF('Журнал'!$E185="","",'Журнал'!$E185)</f>
      </c>
      <c r="C186">
        <f>IF('Журнал'!$B186="","",'План'!$B$6)</f>
      </c>
      <c r="D186">
        <f>IF('Журнал'!$B186="","",('Журнал'!$B186+'Журнал'!$C186)*'План'!$B$9)</f>
      </c>
      <c r="E186">
        <f>IF('Журнал'!$B186="","",'Журнал'!$B186+'Журнал'!$C186+'Журнал'!$D186)</f>
      </c>
      <c r="F186">
        <f>IF('Журнал'!$E186="","",MAX(0,'План'!$B$2-'Журнал'!$E186))</f>
      </c>
    </row>
    <row r="187" spans="1:6" x14ac:dyDescent="0.25">
      <c r="A187">
        <v>186</v>
      </c>
      <c r="B187">
        <f>IF('Журнал'!$E186="","",'Журнал'!$E186)</f>
      </c>
      <c r="C187">
        <f>IF('Журнал'!$B187="","",'План'!$B$6)</f>
      </c>
      <c r="D187">
        <f>IF('Журнал'!$B187="","",('Журнал'!$B187+'Журнал'!$C187)*'План'!$B$9)</f>
      </c>
      <c r="E187">
        <f>IF('Журнал'!$B187="","",'Журнал'!$B187+'Журнал'!$C187+'Журнал'!$D187)</f>
      </c>
      <c r="F187">
        <f>IF('Журнал'!$E187="","",MAX(0,'План'!$B$2-'Журнал'!$E187))</f>
      </c>
    </row>
    <row r="188" spans="1:6" x14ac:dyDescent="0.25">
      <c r="A188">
        <v>187</v>
      </c>
      <c r="B188">
        <f>IF('Журнал'!$E187="","",'Журнал'!$E187)</f>
      </c>
      <c r="C188">
        <f>IF('Журнал'!$B188="","",'План'!$B$6)</f>
      </c>
      <c r="D188">
        <f>IF('Журнал'!$B188="","",('Журнал'!$B188+'Журнал'!$C188)*'План'!$B$9)</f>
      </c>
      <c r="E188">
        <f>IF('Журнал'!$B188="","",'Журнал'!$B188+'Журнал'!$C188+'Журнал'!$D188)</f>
      </c>
      <c r="F188">
        <f>IF('Журнал'!$E188="","",MAX(0,'План'!$B$2-'Журнал'!$E188))</f>
      </c>
    </row>
    <row r="189" spans="1:6" x14ac:dyDescent="0.25">
      <c r="A189">
        <v>188</v>
      </c>
      <c r="B189">
        <f>IF('Журнал'!$E188="","",'Журнал'!$E188)</f>
      </c>
      <c r="C189">
        <f>IF('Журнал'!$B189="","",'План'!$B$6)</f>
      </c>
      <c r="D189">
        <f>IF('Журнал'!$B189="","",('Журнал'!$B189+'Журнал'!$C189)*'План'!$B$9)</f>
      </c>
      <c r="E189">
        <f>IF('Журнал'!$B189="","",'Журнал'!$B189+'Журнал'!$C189+'Журнал'!$D189)</f>
      </c>
      <c r="F189">
        <f>IF('Журнал'!$E189="","",MAX(0,'План'!$B$2-'Журнал'!$E189))</f>
      </c>
    </row>
    <row r="190" spans="1:6" x14ac:dyDescent="0.25">
      <c r="A190">
        <v>189</v>
      </c>
      <c r="B190">
        <f>IF('Журнал'!$E189="","",'Журнал'!$E189)</f>
      </c>
      <c r="C190">
        <f>IF('Журнал'!$B190="","",'План'!$B$6)</f>
      </c>
      <c r="D190">
        <f>IF('Журнал'!$B190="","",('Журнал'!$B190+'Журнал'!$C190)*'План'!$B$9)</f>
      </c>
      <c r="E190">
        <f>IF('Журнал'!$B190="","",'Журнал'!$B190+'Журнал'!$C190+'Журнал'!$D190)</f>
      </c>
      <c r="F190">
        <f>IF('Журнал'!$E190="","",MAX(0,'План'!$B$2-'Журнал'!$E190))</f>
      </c>
    </row>
    <row r="191" spans="1:6" x14ac:dyDescent="0.25">
      <c r="A191">
        <v>190</v>
      </c>
      <c r="B191">
        <f>IF('Журнал'!$E190="","",'Журнал'!$E190)</f>
      </c>
      <c r="C191">
        <f>IF('Журнал'!$B191="","",'План'!$B$6)</f>
      </c>
      <c r="D191">
        <f>IF('Журнал'!$B191="","",('Журнал'!$B191+'Журнал'!$C191)*'План'!$B$9)</f>
      </c>
      <c r="E191">
        <f>IF('Журнал'!$B191="","",'Журнал'!$B191+'Журнал'!$C191+'Журнал'!$D191)</f>
      </c>
      <c r="F191">
        <f>IF('Журнал'!$E191="","",MAX(0,'План'!$B$2-'Журнал'!$E191))</f>
      </c>
    </row>
    <row r="192" spans="1:6" x14ac:dyDescent="0.25">
      <c r="A192">
        <v>191</v>
      </c>
      <c r="B192">
        <f>IF('Журнал'!$E191="","",'Журнал'!$E191)</f>
      </c>
      <c r="C192">
        <f>IF('Журнал'!$B192="","",'План'!$B$6)</f>
      </c>
      <c r="D192">
        <f>IF('Журнал'!$B192="","",('Журнал'!$B192+'Журнал'!$C192)*'План'!$B$9)</f>
      </c>
      <c r="E192">
        <f>IF('Журнал'!$B192="","",'Журнал'!$B192+'Журнал'!$C192+'Журнал'!$D192)</f>
      </c>
      <c r="F192">
        <f>IF('Журнал'!$E192="","",MAX(0,'План'!$B$2-'Журнал'!$E192))</f>
      </c>
    </row>
    <row r="193" spans="1:6" x14ac:dyDescent="0.25">
      <c r="A193">
        <v>192</v>
      </c>
      <c r="B193">
        <f>IF('Журнал'!$E192="","",'Журнал'!$E192)</f>
      </c>
      <c r="C193">
        <f>IF('Журнал'!$B193="","",'План'!$B$6)</f>
      </c>
      <c r="D193">
        <f>IF('Журнал'!$B193="","",('Журнал'!$B193+'Журнал'!$C193)*'План'!$B$9)</f>
      </c>
      <c r="E193">
        <f>IF('Журнал'!$B193="","",'Журнал'!$B193+'Журнал'!$C193+'Журнал'!$D193)</f>
      </c>
      <c r="F193">
        <f>IF('Журнал'!$E193="","",MAX(0,'План'!$B$2-'Журнал'!$E193))</f>
      </c>
    </row>
    <row r="194" spans="1:6" x14ac:dyDescent="0.25">
      <c r="A194">
        <v>193</v>
      </c>
      <c r="B194">
        <f>IF('Журнал'!$E193="","",'Журнал'!$E193)</f>
      </c>
      <c r="C194">
        <f>IF('Журнал'!$B194="","",'План'!$B$6)</f>
      </c>
      <c r="D194">
        <f>IF('Журнал'!$B194="","",('Журнал'!$B194+'Журнал'!$C194)*'План'!$B$9)</f>
      </c>
      <c r="E194">
        <f>IF('Журнал'!$B194="","",'Журнал'!$B194+'Журнал'!$C194+'Журнал'!$D194)</f>
      </c>
      <c r="F194">
        <f>IF('Журнал'!$E194="","",MAX(0,'План'!$B$2-'Журнал'!$E194))</f>
      </c>
    </row>
    <row r="195" spans="1:6" x14ac:dyDescent="0.25">
      <c r="A195">
        <v>194</v>
      </c>
      <c r="B195">
        <f>IF('Журнал'!$E194="","",'Журнал'!$E194)</f>
      </c>
      <c r="C195">
        <f>IF('Журнал'!$B195="","",'План'!$B$6)</f>
      </c>
      <c r="D195">
        <f>IF('Журнал'!$B195="","",('Журнал'!$B195+'Журнал'!$C195)*'План'!$B$9)</f>
      </c>
      <c r="E195">
        <f>IF('Журнал'!$B195="","",'Журнал'!$B195+'Журнал'!$C195+'Журнал'!$D195)</f>
      </c>
      <c r="F195">
        <f>IF('Журнал'!$E195="","",MAX(0,'План'!$B$2-'Журнал'!$E195))</f>
      </c>
    </row>
    <row r="196" spans="1:6" x14ac:dyDescent="0.25">
      <c r="A196">
        <v>195</v>
      </c>
      <c r="B196">
        <f>IF('Журнал'!$E195="","",'Журнал'!$E195)</f>
      </c>
      <c r="C196">
        <f>IF('Журнал'!$B196="","",'План'!$B$6)</f>
      </c>
      <c r="D196">
        <f>IF('Журнал'!$B196="","",('Журнал'!$B196+'Журнал'!$C196)*'План'!$B$9)</f>
      </c>
      <c r="E196">
        <f>IF('Журнал'!$B196="","",'Журнал'!$B196+'Журнал'!$C196+'Журнал'!$D196)</f>
      </c>
      <c r="F196">
        <f>IF('Журнал'!$E196="","",MAX(0,'План'!$B$2-'Журнал'!$E196))</f>
      </c>
    </row>
    <row r="197" spans="1:6" x14ac:dyDescent="0.25">
      <c r="A197">
        <v>196</v>
      </c>
      <c r="B197">
        <f>IF('Журнал'!$E196="","",'Журнал'!$E196)</f>
      </c>
      <c r="C197">
        <f>IF('Журнал'!$B197="","",'План'!$B$6)</f>
      </c>
      <c r="D197">
        <f>IF('Журнал'!$B197="","",('Журнал'!$B197+'Журнал'!$C197)*'План'!$B$9)</f>
      </c>
      <c r="E197">
        <f>IF('Журнал'!$B197="","",'Журнал'!$B197+'Журнал'!$C197+'Журнал'!$D197)</f>
      </c>
      <c r="F197">
        <f>IF('Журнал'!$E197="","",MAX(0,'План'!$B$2-'Журнал'!$E197))</f>
      </c>
    </row>
    <row r="198" spans="1:6" x14ac:dyDescent="0.25">
      <c r="A198">
        <v>197</v>
      </c>
      <c r="B198">
        <f>IF('Журнал'!$E197="","",'Журнал'!$E197)</f>
      </c>
      <c r="C198">
        <f>IF('Журнал'!$B198="","",'План'!$B$6)</f>
      </c>
      <c r="D198">
        <f>IF('Журнал'!$B198="","",('Журнал'!$B198+'Журнал'!$C198)*'План'!$B$9)</f>
      </c>
      <c r="E198">
        <f>IF('Журнал'!$B198="","",'Журнал'!$B198+'Журнал'!$C198+'Журнал'!$D198)</f>
      </c>
      <c r="F198">
        <f>IF('Журнал'!$E198="","",MAX(0,'План'!$B$2-'Журнал'!$E198))</f>
      </c>
    </row>
    <row r="199" spans="1:6" x14ac:dyDescent="0.25">
      <c r="A199">
        <v>198</v>
      </c>
      <c r="B199">
        <f>IF('Журнал'!$E198="","",'Журнал'!$E198)</f>
      </c>
      <c r="C199">
        <f>IF('Журнал'!$B199="","",'План'!$B$6)</f>
      </c>
      <c r="D199">
        <f>IF('Журнал'!$B199="","",('Журнал'!$B199+'Журнал'!$C199)*'План'!$B$9)</f>
      </c>
      <c r="E199">
        <f>IF('Журнал'!$B199="","",'Журнал'!$B199+'Журнал'!$C199+'Журнал'!$D199)</f>
      </c>
      <c r="F199">
        <f>IF('Журнал'!$E199="","",MAX(0,'План'!$B$2-'Журнал'!$E199))</f>
      </c>
    </row>
    <row r="200" spans="1:6" x14ac:dyDescent="0.25">
      <c r="A200">
        <v>199</v>
      </c>
      <c r="B200">
        <f>IF('Журнал'!$E199="","",'Журнал'!$E199)</f>
      </c>
      <c r="C200">
        <f>IF('Журнал'!$B200="","",'План'!$B$6)</f>
      </c>
      <c r="D200">
        <f>IF('Журнал'!$B200="","",('Журнал'!$B200+'Журнал'!$C200)*'План'!$B$9)</f>
      </c>
      <c r="E200">
        <f>IF('Журнал'!$B200="","",'Журнал'!$B200+'Журнал'!$C200+'Журнал'!$D200)</f>
      </c>
      <c r="F200">
        <f>IF('Журнал'!$E200="","",MAX(0,'План'!$B$2-'Журнал'!$E200))</f>
      </c>
    </row>
    <row r="201" spans="1:6" x14ac:dyDescent="0.25">
      <c r="A201">
        <v>200</v>
      </c>
      <c r="B201">
        <f>IF('Журнал'!$E200="","",'Журнал'!$E200)</f>
      </c>
      <c r="C201">
        <f>IF('Журнал'!$B201="","",'План'!$B$6)</f>
      </c>
      <c r="D201">
        <f>IF('Журнал'!$B201="","",('Журнал'!$B201+'Журнал'!$C201)*'План'!$B$9)</f>
      </c>
      <c r="E201">
        <f>IF('Журнал'!$B201="","",'Журнал'!$B201+'Журнал'!$C201+'Журнал'!$D201)</f>
      </c>
      <c r="F201">
        <f>IF('Журнал'!$E201="","",MAX(0,'План'!$B$2-'Журнал'!$E201))</f>
      </c>
    </row>
    <row r="202" spans="1:6" x14ac:dyDescent="0.25">
      <c r="A202">
        <v>201</v>
      </c>
      <c r="B202">
        <f>IF('Журнал'!$E201="","",'Журнал'!$E201)</f>
      </c>
      <c r="C202">
        <f>IF('Журнал'!$B202="","",'План'!$B$6)</f>
      </c>
      <c r="D202">
        <f>IF('Журнал'!$B202="","",('Журнал'!$B202+'Журнал'!$C202)*'План'!$B$9)</f>
      </c>
      <c r="E202">
        <f>IF('Журнал'!$B202="","",'Журнал'!$B202+'Журнал'!$C202+'Журнал'!$D202)</f>
      </c>
      <c r="F202">
        <f>IF('Журнал'!$E202="","",MAX(0,'План'!$B$2-'Журнал'!$E202))</f>
      </c>
    </row>
    <row r="203" spans="1:6" x14ac:dyDescent="0.25">
      <c r="A203">
        <v>202</v>
      </c>
      <c r="B203">
        <f>IF('Журнал'!$E202="","",'Журнал'!$E202)</f>
      </c>
      <c r="C203">
        <f>IF('Журнал'!$B203="","",'План'!$B$6)</f>
      </c>
      <c r="D203">
        <f>IF('Журнал'!$B203="","",('Журнал'!$B203+'Журнал'!$C203)*'План'!$B$9)</f>
      </c>
      <c r="E203">
        <f>IF('Журнал'!$B203="","",'Журнал'!$B203+'Журнал'!$C203+'Журнал'!$D203)</f>
      </c>
      <c r="F203">
        <f>IF('Журнал'!$E203="","",MAX(0,'План'!$B$2-'Журнал'!$E203))</f>
      </c>
    </row>
    <row r="204" spans="1:6" x14ac:dyDescent="0.25">
      <c r="A204">
        <v>203</v>
      </c>
      <c r="B204">
        <f>IF('Журнал'!$E203="","",'Журнал'!$E203)</f>
      </c>
      <c r="C204">
        <f>IF('Журнал'!$B204="","",'План'!$B$6)</f>
      </c>
      <c r="D204">
        <f>IF('Журнал'!$B204="","",('Журнал'!$B204+'Журнал'!$C204)*'План'!$B$9)</f>
      </c>
      <c r="E204">
        <f>IF('Журнал'!$B204="","",'Журнал'!$B204+'Журнал'!$C204+'Журнал'!$D204)</f>
      </c>
      <c r="F204">
        <f>IF('Журнал'!$E204="","",MAX(0,'План'!$B$2-'Журнал'!$E204))</f>
      </c>
    </row>
    <row r="205" spans="1:6" x14ac:dyDescent="0.25">
      <c r="A205">
        <v>204</v>
      </c>
      <c r="B205">
        <f>IF('Журнал'!$E204="","",'Журнал'!$E204)</f>
      </c>
      <c r="C205">
        <f>IF('Журнал'!$B205="","",'План'!$B$6)</f>
      </c>
      <c r="D205">
        <f>IF('Журнал'!$B205="","",('Журнал'!$B205+'Журнал'!$C205)*'План'!$B$9)</f>
      </c>
      <c r="E205">
        <f>IF('Журнал'!$B205="","",'Журнал'!$B205+'Журнал'!$C205+'Журнал'!$D205)</f>
      </c>
      <c r="F205">
        <f>IF('Журнал'!$E205="","",MAX(0,'План'!$B$2-'Журнал'!$E205))</f>
      </c>
    </row>
    <row r="206" spans="1:6" x14ac:dyDescent="0.25">
      <c r="A206">
        <v>205</v>
      </c>
      <c r="B206">
        <f>IF('Журнал'!$E205="","",'Журнал'!$E205)</f>
      </c>
      <c r="C206">
        <f>IF('Журнал'!$B206="","",'План'!$B$6)</f>
      </c>
      <c r="D206">
        <f>IF('Журнал'!$B206="","",('Журнал'!$B206+'Журнал'!$C206)*'План'!$B$9)</f>
      </c>
      <c r="E206">
        <f>IF('Журнал'!$B206="","",'Журнал'!$B206+'Журнал'!$C206+'Журнал'!$D206)</f>
      </c>
      <c r="F206">
        <f>IF('Журнал'!$E206="","",MAX(0,'План'!$B$2-'Журнал'!$E206))</f>
      </c>
    </row>
    <row r="207" spans="1:6" x14ac:dyDescent="0.25">
      <c r="A207">
        <v>206</v>
      </c>
      <c r="B207">
        <f>IF('Журнал'!$E206="","",'Журнал'!$E206)</f>
      </c>
      <c r="C207">
        <f>IF('Журнал'!$B207="","",'План'!$B$6)</f>
      </c>
      <c r="D207">
        <f>IF('Журнал'!$B207="","",('Журнал'!$B207+'Журнал'!$C207)*'План'!$B$9)</f>
      </c>
      <c r="E207">
        <f>IF('Журнал'!$B207="","",'Журнал'!$B207+'Журнал'!$C207+'Журнал'!$D207)</f>
      </c>
      <c r="F207">
        <f>IF('Журнал'!$E207="","",MAX(0,'План'!$B$2-'Журнал'!$E207))</f>
      </c>
    </row>
    <row r="208" spans="1:6" x14ac:dyDescent="0.25">
      <c r="A208">
        <v>207</v>
      </c>
      <c r="B208">
        <f>IF('Журнал'!$E207="","",'Журнал'!$E207)</f>
      </c>
      <c r="C208">
        <f>IF('Журнал'!$B208="","",'План'!$B$6)</f>
      </c>
      <c r="D208">
        <f>IF('Журнал'!$B208="","",('Журнал'!$B208+'Журнал'!$C208)*'План'!$B$9)</f>
      </c>
      <c r="E208">
        <f>IF('Журнал'!$B208="","",'Журнал'!$B208+'Журнал'!$C208+'Журнал'!$D208)</f>
      </c>
      <c r="F208">
        <f>IF('Журнал'!$E208="","",MAX(0,'План'!$B$2-'Журнал'!$E208))</f>
      </c>
    </row>
    <row r="209" spans="1:6" x14ac:dyDescent="0.25">
      <c r="A209">
        <v>208</v>
      </c>
      <c r="B209">
        <f>IF('Журнал'!$E208="","",'Журнал'!$E208)</f>
      </c>
      <c r="C209">
        <f>IF('Журнал'!$B209="","",'План'!$B$6)</f>
      </c>
      <c r="D209">
        <f>IF('Журнал'!$B209="","",('Журнал'!$B209+'Журнал'!$C209)*'План'!$B$9)</f>
      </c>
      <c r="E209">
        <f>IF('Журнал'!$B209="","",'Журнал'!$B209+'Журнал'!$C209+'Журнал'!$D209)</f>
      </c>
      <c r="F209">
        <f>IF('Журнал'!$E209="","",MAX(0,'План'!$B$2-'Журнал'!$E209))</f>
      </c>
    </row>
    <row r="210" spans="1:6" x14ac:dyDescent="0.25">
      <c r="A210">
        <v>209</v>
      </c>
      <c r="B210">
        <f>IF('Журнал'!$E209="","",'Журнал'!$E209)</f>
      </c>
      <c r="C210">
        <f>IF('Журнал'!$B210="","",'План'!$B$6)</f>
      </c>
      <c r="D210">
        <f>IF('Журнал'!$B210="","",('Журнал'!$B210+'Журнал'!$C210)*'План'!$B$9)</f>
      </c>
      <c r="E210">
        <f>IF('Журнал'!$B210="","",'Журнал'!$B210+'Журнал'!$C210+'Журнал'!$D210)</f>
      </c>
      <c r="F210">
        <f>IF('Журнал'!$E210="","",MAX(0,'План'!$B$2-'Журнал'!$E210))</f>
      </c>
    </row>
    <row r="211" spans="1:6" x14ac:dyDescent="0.25">
      <c r="A211">
        <v>210</v>
      </c>
      <c r="B211">
        <f>IF('Журнал'!$E210="","",'Журнал'!$E210)</f>
      </c>
      <c r="C211">
        <f>IF('Журнал'!$B211="","",'План'!$B$6)</f>
      </c>
      <c r="D211">
        <f>IF('Журнал'!$B211="","",('Журнал'!$B211+'Журнал'!$C211)*'План'!$B$9)</f>
      </c>
      <c r="E211">
        <f>IF('Журнал'!$B211="","",'Журнал'!$B211+'Журнал'!$C211+'Журнал'!$D211)</f>
      </c>
      <c r="F211">
        <f>IF('Журнал'!$E211="","",MAX(0,'План'!$B$2-'Журнал'!$E211))</f>
      </c>
    </row>
    <row r="212" spans="1:6" x14ac:dyDescent="0.25">
      <c r="A212">
        <v>211</v>
      </c>
      <c r="B212">
        <f>IF('Журнал'!$E211="","",'Журнал'!$E211)</f>
      </c>
      <c r="C212">
        <f>IF('Журнал'!$B212="","",'План'!$B$6)</f>
      </c>
      <c r="D212">
        <f>IF('Журнал'!$B212="","",('Журнал'!$B212+'Журнал'!$C212)*'План'!$B$9)</f>
      </c>
      <c r="E212">
        <f>IF('Журнал'!$B212="","",'Журнал'!$B212+'Журнал'!$C212+'Журнал'!$D212)</f>
      </c>
      <c r="F212">
        <f>IF('Журнал'!$E212="","",MAX(0,'План'!$B$2-'Журнал'!$E212))</f>
      </c>
    </row>
    <row r="213" spans="1:6" x14ac:dyDescent="0.25">
      <c r="A213">
        <v>212</v>
      </c>
      <c r="B213">
        <f>IF('Журнал'!$E212="","",'Журнал'!$E212)</f>
      </c>
      <c r="C213">
        <f>IF('Журнал'!$B213="","",'План'!$B$6)</f>
      </c>
      <c r="D213">
        <f>IF('Журнал'!$B213="","",('Журнал'!$B213+'Журнал'!$C213)*'План'!$B$9)</f>
      </c>
      <c r="E213">
        <f>IF('Журнал'!$B213="","",'Журнал'!$B213+'Журнал'!$C213+'Журнал'!$D213)</f>
      </c>
      <c r="F213">
        <f>IF('Журнал'!$E213="","",MAX(0,'План'!$B$2-'Журнал'!$E213))</f>
      </c>
    </row>
    <row r="214" spans="1:6" x14ac:dyDescent="0.25">
      <c r="A214">
        <v>213</v>
      </c>
      <c r="B214">
        <f>IF('Журнал'!$E213="","",'Журнал'!$E213)</f>
      </c>
      <c r="C214">
        <f>IF('Журнал'!$B214="","",'План'!$B$6)</f>
      </c>
      <c r="D214">
        <f>IF('Журнал'!$B214="","",('Журнал'!$B214+'Журнал'!$C214)*'План'!$B$9)</f>
      </c>
      <c r="E214">
        <f>IF('Журнал'!$B214="","",'Журнал'!$B214+'Журнал'!$C214+'Журнал'!$D214)</f>
      </c>
      <c r="F214">
        <f>IF('Журнал'!$E214="","",MAX(0,'План'!$B$2-'Журнал'!$E214))</f>
      </c>
    </row>
    <row r="215" spans="1:6" x14ac:dyDescent="0.25">
      <c r="A215">
        <v>214</v>
      </c>
      <c r="B215">
        <f>IF('Журнал'!$E214="","",'Журнал'!$E214)</f>
      </c>
      <c r="C215">
        <f>IF('Журнал'!$B215="","",'План'!$B$6)</f>
      </c>
      <c r="D215">
        <f>IF('Журнал'!$B215="","",('Журнал'!$B215+'Журнал'!$C215)*'План'!$B$9)</f>
      </c>
      <c r="E215">
        <f>IF('Журнал'!$B215="","",'Журнал'!$B215+'Журнал'!$C215+'Журнал'!$D215)</f>
      </c>
      <c r="F215">
        <f>IF('Журнал'!$E215="","",MAX(0,'План'!$B$2-'Журнал'!$E215))</f>
      </c>
    </row>
    <row r="216" spans="1:6" x14ac:dyDescent="0.25">
      <c r="A216">
        <v>215</v>
      </c>
      <c r="B216">
        <f>IF('Журнал'!$E215="","",'Журнал'!$E215)</f>
      </c>
      <c r="C216">
        <f>IF('Журнал'!$B216="","",'План'!$B$6)</f>
      </c>
      <c r="D216">
        <f>IF('Журнал'!$B216="","",('Журнал'!$B216+'Журнал'!$C216)*'План'!$B$9)</f>
      </c>
      <c r="E216">
        <f>IF('Журнал'!$B216="","",'Журнал'!$B216+'Журнал'!$C216+'Журнал'!$D216)</f>
      </c>
      <c r="F216">
        <f>IF('Журнал'!$E216="","",MAX(0,'План'!$B$2-'Журнал'!$E216))</f>
      </c>
    </row>
    <row r="217" spans="1:6" x14ac:dyDescent="0.25">
      <c r="A217">
        <v>216</v>
      </c>
      <c r="B217">
        <f>IF('Журнал'!$E216="","",'Журнал'!$E216)</f>
      </c>
      <c r="C217">
        <f>IF('Журнал'!$B217="","",'План'!$B$6)</f>
      </c>
      <c r="D217">
        <f>IF('Журнал'!$B217="","",('Журнал'!$B217+'Журнал'!$C217)*'План'!$B$9)</f>
      </c>
      <c r="E217">
        <f>IF('Журнал'!$B217="","",'Журнал'!$B217+'Журнал'!$C217+'Журнал'!$D217)</f>
      </c>
      <c r="F217">
        <f>IF('Журнал'!$E217="","",MAX(0,'План'!$B$2-'Журнал'!$E217))</f>
      </c>
    </row>
    <row r="218" spans="1:6" x14ac:dyDescent="0.25">
      <c r="A218">
        <v>217</v>
      </c>
      <c r="B218">
        <f>IF('Журнал'!$E217="","",'Журнал'!$E217)</f>
      </c>
      <c r="C218">
        <f>IF('Журнал'!$B218="","",'План'!$B$6)</f>
      </c>
      <c r="D218">
        <f>IF('Журнал'!$B218="","",('Журнал'!$B218+'Журнал'!$C218)*'План'!$B$9)</f>
      </c>
      <c r="E218">
        <f>IF('Журнал'!$B218="","",'Журнал'!$B218+'Журнал'!$C218+'Журнал'!$D218)</f>
      </c>
      <c r="F218">
        <f>IF('Журнал'!$E218="","",MAX(0,'План'!$B$2-'Журнал'!$E218))</f>
      </c>
    </row>
    <row r="219" spans="1:6" x14ac:dyDescent="0.25">
      <c r="A219">
        <v>218</v>
      </c>
      <c r="B219">
        <f>IF('Журнал'!$E218="","",'Журнал'!$E218)</f>
      </c>
      <c r="C219">
        <f>IF('Журнал'!$B219="","",'План'!$B$6)</f>
      </c>
      <c r="D219">
        <f>IF('Журнал'!$B219="","",('Журнал'!$B219+'Журнал'!$C219)*'План'!$B$9)</f>
      </c>
      <c r="E219">
        <f>IF('Журнал'!$B219="","",'Журнал'!$B219+'Журнал'!$C219+'Журнал'!$D219)</f>
      </c>
      <c r="F219">
        <f>IF('Журнал'!$E219="","",MAX(0,'План'!$B$2-'Журнал'!$E219))</f>
      </c>
    </row>
    <row r="220" spans="1:6" x14ac:dyDescent="0.25">
      <c r="A220">
        <v>219</v>
      </c>
      <c r="B220">
        <f>IF('Журнал'!$E219="","",'Журнал'!$E219)</f>
      </c>
      <c r="C220">
        <f>IF('Журнал'!$B220="","",'План'!$B$6)</f>
      </c>
      <c r="D220">
        <f>IF('Журнал'!$B220="","",('Журнал'!$B220+'Журнал'!$C220)*'План'!$B$9)</f>
      </c>
      <c r="E220">
        <f>IF('Журнал'!$B220="","",'Журнал'!$B220+'Журнал'!$C220+'Журнал'!$D220)</f>
      </c>
      <c r="F220">
        <f>IF('Журнал'!$E220="","",MAX(0,'План'!$B$2-'Журнал'!$E220))</f>
      </c>
    </row>
    <row r="221" spans="1:6" x14ac:dyDescent="0.25">
      <c r="A221">
        <v>220</v>
      </c>
      <c r="B221">
        <f>IF('Журнал'!$E220="","",'Журнал'!$E220)</f>
      </c>
      <c r="C221">
        <f>IF('Журнал'!$B221="","",'План'!$B$6)</f>
      </c>
      <c r="D221">
        <f>IF('Журнал'!$B221="","",('Журнал'!$B221+'Журнал'!$C221)*'План'!$B$9)</f>
      </c>
      <c r="E221">
        <f>IF('Журнал'!$B221="","",'Журнал'!$B221+'Журнал'!$C221+'Журнал'!$D221)</f>
      </c>
      <c r="F221">
        <f>IF('Журнал'!$E221="","",MAX(0,'План'!$B$2-'Журнал'!$E221))</f>
      </c>
    </row>
    <row r="222" spans="1:6" x14ac:dyDescent="0.25">
      <c r="A222">
        <v>221</v>
      </c>
      <c r="B222">
        <f>IF('Журнал'!$E221="","",'Журнал'!$E221)</f>
      </c>
      <c r="C222">
        <f>IF('Журнал'!$B222="","",'План'!$B$6)</f>
      </c>
      <c r="D222">
        <f>IF('Журнал'!$B222="","",('Журнал'!$B222+'Журнал'!$C222)*'План'!$B$9)</f>
      </c>
      <c r="E222">
        <f>IF('Журнал'!$B222="","",'Журнал'!$B222+'Журнал'!$C222+'Журнал'!$D222)</f>
      </c>
      <c r="F222">
        <f>IF('Журнал'!$E222="","",MAX(0,'План'!$B$2-'Журнал'!$E222))</f>
      </c>
    </row>
    <row r="223" spans="1:6" x14ac:dyDescent="0.25">
      <c r="A223">
        <v>222</v>
      </c>
      <c r="B223">
        <f>IF('Журнал'!$E222="","",'Журнал'!$E222)</f>
      </c>
      <c r="C223">
        <f>IF('Журнал'!$B223="","",'План'!$B$6)</f>
      </c>
      <c r="D223">
        <f>IF('Журнал'!$B223="","",('Журнал'!$B223+'Журнал'!$C223)*'План'!$B$9)</f>
      </c>
      <c r="E223">
        <f>IF('Журнал'!$B223="","",'Журнал'!$B223+'Журнал'!$C223+'Журнал'!$D223)</f>
      </c>
      <c r="F223">
        <f>IF('Журнал'!$E223="","",MAX(0,'План'!$B$2-'Журнал'!$E223))</f>
      </c>
    </row>
    <row r="224" spans="1:6" x14ac:dyDescent="0.25">
      <c r="A224">
        <v>223</v>
      </c>
      <c r="B224">
        <f>IF('Журнал'!$E223="","",'Журнал'!$E223)</f>
      </c>
      <c r="C224">
        <f>IF('Журнал'!$B224="","",'План'!$B$6)</f>
      </c>
      <c r="D224">
        <f>IF('Журнал'!$B224="","",('Журнал'!$B224+'Журнал'!$C224)*'План'!$B$9)</f>
      </c>
      <c r="E224">
        <f>IF('Журнал'!$B224="","",'Журнал'!$B224+'Журнал'!$C224+'Журнал'!$D224)</f>
      </c>
      <c r="F224">
        <f>IF('Журнал'!$E224="","",MAX(0,'План'!$B$2-'Журнал'!$E224))</f>
      </c>
    </row>
    <row r="225" spans="1:6" x14ac:dyDescent="0.25">
      <c r="A225">
        <v>224</v>
      </c>
      <c r="B225">
        <f>IF('Журнал'!$E224="","",'Журнал'!$E224)</f>
      </c>
      <c r="C225">
        <f>IF('Журнал'!$B225="","",'План'!$B$6)</f>
      </c>
      <c r="D225">
        <f>IF('Журнал'!$B225="","",('Журнал'!$B225+'Журнал'!$C225)*'План'!$B$9)</f>
      </c>
      <c r="E225">
        <f>IF('Журнал'!$B225="","",'Журнал'!$B225+'Журнал'!$C225+'Журнал'!$D225)</f>
      </c>
      <c r="F225">
        <f>IF('Журнал'!$E225="","",MAX(0,'План'!$B$2-'Журнал'!$E225))</f>
      </c>
    </row>
    <row r="226" spans="1:6" x14ac:dyDescent="0.25">
      <c r="A226">
        <v>225</v>
      </c>
      <c r="B226">
        <f>IF('Журнал'!$E225="","",'Журнал'!$E225)</f>
      </c>
      <c r="C226">
        <f>IF('Журнал'!$B226="","",'План'!$B$6)</f>
      </c>
      <c r="D226">
        <f>IF('Журнал'!$B226="","",('Журнал'!$B226+'Журнал'!$C226)*'План'!$B$9)</f>
      </c>
      <c r="E226">
        <f>IF('Журнал'!$B226="","",'Журнал'!$B226+'Журнал'!$C226+'Журнал'!$D226)</f>
      </c>
      <c r="F226">
        <f>IF('Журнал'!$E226="","",MAX(0,'План'!$B$2-'Журнал'!$E226))</f>
      </c>
    </row>
    <row r="227" spans="1:6" x14ac:dyDescent="0.25">
      <c r="A227">
        <v>226</v>
      </c>
      <c r="B227">
        <f>IF('Журнал'!$E226="","",'Журнал'!$E226)</f>
      </c>
      <c r="C227">
        <f>IF('Журнал'!$B227="","",'План'!$B$6)</f>
      </c>
      <c r="D227">
        <f>IF('Журнал'!$B227="","",('Журнал'!$B227+'Журнал'!$C227)*'План'!$B$9)</f>
      </c>
      <c r="E227">
        <f>IF('Журнал'!$B227="","",'Журнал'!$B227+'Журнал'!$C227+'Журнал'!$D227)</f>
      </c>
      <c r="F227">
        <f>IF('Журнал'!$E227="","",MAX(0,'План'!$B$2-'Журнал'!$E227))</f>
      </c>
    </row>
    <row r="228" spans="1:6" x14ac:dyDescent="0.25">
      <c r="A228">
        <v>227</v>
      </c>
      <c r="B228">
        <f>IF('Журнал'!$E227="","",'Журнал'!$E227)</f>
      </c>
      <c r="C228">
        <f>IF('Журнал'!$B228="","",'План'!$B$6)</f>
      </c>
      <c r="D228">
        <f>IF('Журнал'!$B228="","",('Журнал'!$B228+'Журнал'!$C228)*'План'!$B$9)</f>
      </c>
      <c r="E228">
        <f>IF('Журнал'!$B228="","",'Журнал'!$B228+'Журнал'!$C228+'Журнал'!$D228)</f>
      </c>
      <c r="F228">
        <f>IF('Журнал'!$E228="","",MAX(0,'План'!$B$2-'Журнал'!$E228))</f>
      </c>
    </row>
    <row r="229" spans="1:6" x14ac:dyDescent="0.25">
      <c r="A229">
        <v>228</v>
      </c>
      <c r="B229">
        <f>IF('Журнал'!$E228="","",'Журнал'!$E228)</f>
      </c>
      <c r="C229">
        <f>IF('Журнал'!$B229="","",'План'!$B$6)</f>
      </c>
      <c r="D229">
        <f>IF('Журнал'!$B229="","",('Журнал'!$B229+'Журнал'!$C229)*'План'!$B$9)</f>
      </c>
      <c r="E229">
        <f>IF('Журнал'!$B229="","",'Журнал'!$B229+'Журнал'!$C229+'Журнал'!$D229)</f>
      </c>
      <c r="F229">
        <f>IF('Журнал'!$E229="","",MAX(0,'План'!$B$2-'Журнал'!$E229))</f>
      </c>
    </row>
    <row r="230" spans="1:6" x14ac:dyDescent="0.25">
      <c r="A230">
        <v>229</v>
      </c>
      <c r="B230">
        <f>IF('Журнал'!$E229="","",'Журнал'!$E229)</f>
      </c>
      <c r="C230">
        <f>IF('Журнал'!$B230="","",'План'!$B$6)</f>
      </c>
      <c r="D230">
        <f>IF('Журнал'!$B230="","",('Журнал'!$B230+'Журнал'!$C230)*'План'!$B$9)</f>
      </c>
      <c r="E230">
        <f>IF('Журнал'!$B230="","",'Журнал'!$B230+'Журнал'!$C230+'Журнал'!$D230)</f>
      </c>
      <c r="F230">
        <f>IF('Журнал'!$E230="","",MAX(0,'План'!$B$2-'Журнал'!$E230))</f>
      </c>
    </row>
    <row r="231" spans="1:6" x14ac:dyDescent="0.25">
      <c r="A231">
        <v>230</v>
      </c>
      <c r="B231">
        <f>IF('Журнал'!$E230="","",'Журнал'!$E230)</f>
      </c>
      <c r="C231">
        <f>IF('Журнал'!$B231="","",'План'!$B$6)</f>
      </c>
      <c r="D231">
        <f>IF('Журнал'!$B231="","",('Журнал'!$B231+'Журнал'!$C231)*'План'!$B$9)</f>
      </c>
      <c r="E231">
        <f>IF('Журнал'!$B231="","",'Журнал'!$B231+'Журнал'!$C231+'Журнал'!$D231)</f>
      </c>
      <c r="F231">
        <f>IF('Журнал'!$E231="","",MAX(0,'План'!$B$2-'Журнал'!$E231))</f>
      </c>
    </row>
    <row r="232" spans="1:6" x14ac:dyDescent="0.25">
      <c r="A232">
        <v>231</v>
      </c>
      <c r="B232">
        <f>IF('Журнал'!$E231="","",'Журнал'!$E231)</f>
      </c>
      <c r="C232">
        <f>IF('Журнал'!$B232="","",'План'!$B$6)</f>
      </c>
      <c r="D232">
        <f>IF('Журнал'!$B232="","",('Журнал'!$B232+'Журнал'!$C232)*'План'!$B$9)</f>
      </c>
      <c r="E232">
        <f>IF('Журнал'!$B232="","",'Журнал'!$B232+'Журнал'!$C232+'Журнал'!$D232)</f>
      </c>
      <c r="F232">
        <f>IF('Журнал'!$E232="","",MAX(0,'План'!$B$2-'Журнал'!$E232))</f>
      </c>
    </row>
    <row r="233" spans="1:6" x14ac:dyDescent="0.25">
      <c r="A233">
        <v>232</v>
      </c>
      <c r="B233">
        <f>IF('Журнал'!$E232="","",'Журнал'!$E232)</f>
      </c>
      <c r="C233">
        <f>IF('Журнал'!$B233="","",'План'!$B$6)</f>
      </c>
      <c r="D233">
        <f>IF('Журнал'!$B233="","",('Журнал'!$B233+'Журнал'!$C233)*'План'!$B$9)</f>
      </c>
      <c r="E233">
        <f>IF('Журнал'!$B233="","",'Журнал'!$B233+'Журнал'!$C233+'Журнал'!$D233)</f>
      </c>
      <c r="F233">
        <f>IF('Журнал'!$E233="","",MAX(0,'План'!$B$2-'Журнал'!$E233))</f>
      </c>
    </row>
    <row r="234" spans="1:6" x14ac:dyDescent="0.25">
      <c r="A234">
        <v>233</v>
      </c>
      <c r="B234">
        <f>IF('Журнал'!$E233="","",'Журнал'!$E233)</f>
      </c>
      <c r="C234">
        <f>IF('Журнал'!$B234="","",'План'!$B$6)</f>
      </c>
      <c r="D234">
        <f>IF('Журнал'!$B234="","",('Журнал'!$B234+'Журнал'!$C234)*'План'!$B$9)</f>
      </c>
      <c r="E234">
        <f>IF('Журнал'!$B234="","",'Журнал'!$B234+'Журнал'!$C234+'Журнал'!$D234)</f>
      </c>
      <c r="F234">
        <f>IF('Журнал'!$E234="","",MAX(0,'План'!$B$2-'Журнал'!$E234))</f>
      </c>
    </row>
    <row r="235" spans="1:6" x14ac:dyDescent="0.25">
      <c r="A235">
        <v>234</v>
      </c>
      <c r="B235">
        <f>IF('Журнал'!$E234="","",'Журнал'!$E234)</f>
      </c>
      <c r="C235">
        <f>IF('Журнал'!$B235="","",'План'!$B$6)</f>
      </c>
      <c r="D235">
        <f>IF('Журнал'!$B235="","",('Журнал'!$B235+'Журнал'!$C235)*'План'!$B$9)</f>
      </c>
      <c r="E235">
        <f>IF('Журнал'!$B235="","",'Журнал'!$B235+'Журнал'!$C235+'Журнал'!$D235)</f>
      </c>
      <c r="F235">
        <f>IF('Журнал'!$E235="","",MAX(0,'План'!$B$2-'Журнал'!$E235))</f>
      </c>
    </row>
    <row r="236" spans="1:6" x14ac:dyDescent="0.25">
      <c r="A236">
        <v>235</v>
      </c>
      <c r="B236">
        <f>IF('Журнал'!$E235="","",'Журнал'!$E235)</f>
      </c>
      <c r="C236">
        <f>IF('Журнал'!$B236="","",'План'!$B$6)</f>
      </c>
      <c r="D236">
        <f>IF('Журнал'!$B236="","",('Журнал'!$B236+'Журнал'!$C236)*'План'!$B$9)</f>
      </c>
      <c r="E236">
        <f>IF('Журнал'!$B236="","",'Журнал'!$B236+'Журнал'!$C236+'Журнал'!$D236)</f>
      </c>
      <c r="F236">
        <f>IF('Журнал'!$E236="","",MAX(0,'План'!$B$2-'Журнал'!$E236))</f>
      </c>
    </row>
    <row r="237" spans="1:6" x14ac:dyDescent="0.25">
      <c r="A237">
        <v>236</v>
      </c>
      <c r="B237">
        <f>IF('Журнал'!$E236="","",'Журнал'!$E236)</f>
      </c>
      <c r="C237">
        <f>IF('Журнал'!$B237="","",'План'!$B$6)</f>
      </c>
      <c r="D237">
        <f>IF('Журнал'!$B237="","",('Журнал'!$B237+'Журнал'!$C237)*'План'!$B$9)</f>
      </c>
      <c r="E237">
        <f>IF('Журнал'!$B237="","",'Журнал'!$B237+'Журнал'!$C237+'Журнал'!$D237)</f>
      </c>
      <c r="F237">
        <f>IF('Журнал'!$E237="","",MAX(0,'План'!$B$2-'Журнал'!$E237))</f>
      </c>
    </row>
    <row r="238" spans="1:6" x14ac:dyDescent="0.25">
      <c r="A238">
        <v>237</v>
      </c>
      <c r="B238">
        <f>IF('Журнал'!$E237="","",'Журнал'!$E237)</f>
      </c>
      <c r="C238">
        <f>IF('Журнал'!$B238="","",'План'!$B$6)</f>
      </c>
      <c r="D238">
        <f>IF('Журнал'!$B238="","",('Журнал'!$B238+'Журнал'!$C238)*'План'!$B$9)</f>
      </c>
      <c r="E238">
        <f>IF('Журнал'!$B238="","",'Журнал'!$B238+'Журнал'!$C238+'Журнал'!$D238)</f>
      </c>
      <c r="F238">
        <f>IF('Журнал'!$E238="","",MAX(0,'План'!$B$2-'Журнал'!$E238))</f>
      </c>
    </row>
    <row r="239" spans="1:6" x14ac:dyDescent="0.25">
      <c r="A239">
        <v>238</v>
      </c>
      <c r="B239">
        <f>IF('Журнал'!$E238="","",'Журнал'!$E238)</f>
      </c>
      <c r="C239">
        <f>IF('Журнал'!$B239="","",'План'!$B$6)</f>
      </c>
      <c r="D239">
        <f>IF('Журнал'!$B239="","",('Журнал'!$B239+'Журнал'!$C239)*'План'!$B$9)</f>
      </c>
      <c r="E239">
        <f>IF('Журнал'!$B239="","",'Журнал'!$B239+'Журнал'!$C239+'Журнал'!$D239)</f>
      </c>
      <c r="F239">
        <f>IF('Журнал'!$E239="","",MAX(0,'План'!$B$2-'Журнал'!$E239))</f>
      </c>
    </row>
    <row r="240" spans="1:6" x14ac:dyDescent="0.25">
      <c r="A240">
        <v>239</v>
      </c>
      <c r="B240">
        <f>IF('Журнал'!$E239="","",'Журнал'!$E239)</f>
      </c>
      <c r="C240">
        <f>IF('Журнал'!$B240="","",'План'!$B$6)</f>
      </c>
      <c r="D240">
        <f>IF('Журнал'!$B240="","",('Журнал'!$B240+'Журнал'!$C240)*'План'!$B$9)</f>
      </c>
      <c r="E240">
        <f>IF('Журнал'!$B240="","",'Журнал'!$B240+'Журнал'!$C240+'Журнал'!$D240)</f>
      </c>
      <c r="F240">
        <f>IF('Журнал'!$E240="","",MAX(0,'План'!$B$2-'Журнал'!$E240))</f>
      </c>
    </row>
    <row r="241" spans="1:6" x14ac:dyDescent="0.25">
      <c r="A241">
        <v>240</v>
      </c>
      <c r="B241">
        <f>IF('Журнал'!$E240="","",'Журнал'!$E240)</f>
      </c>
      <c r="C241">
        <f>IF('Журнал'!$B241="","",'План'!$B$6)</f>
      </c>
      <c r="D241">
        <f>IF('Журнал'!$B241="","",('Журнал'!$B241+'Журнал'!$C241)*'План'!$B$9)</f>
      </c>
      <c r="E241">
        <f>IF('Журнал'!$B241="","",'Журнал'!$B241+'Журнал'!$C241+'Журнал'!$D241)</f>
      </c>
      <c r="F241">
        <f>IF('Журнал'!$E241="","",MAX(0,'План'!$B$2-'Журнал'!$E241))</f>
      </c>
    </row>
    <row r="242" spans="1:6" x14ac:dyDescent="0.25">
      <c r="A242">
        <v>241</v>
      </c>
      <c r="B242">
        <f>IF('Журнал'!$E241="","",'Журнал'!$E241)</f>
      </c>
      <c r="C242">
        <f>IF('Журнал'!$B242="","",'План'!$B$6)</f>
      </c>
      <c r="D242">
        <f>IF('Журнал'!$B242="","",('Журнал'!$B242+'Журнал'!$C242)*'План'!$B$9)</f>
      </c>
      <c r="E242">
        <f>IF('Журнал'!$B242="","",'Журнал'!$B242+'Журнал'!$C242+'Журнал'!$D242)</f>
      </c>
      <c r="F242">
        <f>IF('Журнал'!$E242="","",MAX(0,'План'!$B$2-'Журнал'!$E242))</f>
      </c>
    </row>
    <row r="243" spans="1:6" x14ac:dyDescent="0.25">
      <c r="A243">
        <v>242</v>
      </c>
      <c r="B243">
        <f>IF('Журнал'!$E242="","",'Журнал'!$E242)</f>
      </c>
      <c r="C243">
        <f>IF('Журнал'!$B243="","",'План'!$B$6)</f>
      </c>
      <c r="D243">
        <f>IF('Журнал'!$B243="","",('Журнал'!$B243+'Журнал'!$C243)*'План'!$B$9)</f>
      </c>
      <c r="E243">
        <f>IF('Журнал'!$B243="","",'Журнал'!$B243+'Журнал'!$C243+'Журнал'!$D243)</f>
      </c>
      <c r="F243">
        <f>IF('Журнал'!$E243="","",MAX(0,'План'!$B$2-'Журнал'!$E243))</f>
      </c>
    </row>
    <row r="244" spans="1:6" x14ac:dyDescent="0.25">
      <c r="A244">
        <v>243</v>
      </c>
      <c r="B244">
        <f>IF('Журнал'!$E243="","",'Журнал'!$E243)</f>
      </c>
      <c r="C244">
        <f>IF('Журнал'!$B244="","",'План'!$B$6)</f>
      </c>
      <c r="D244">
        <f>IF('Журнал'!$B244="","",('Журнал'!$B244+'Журнал'!$C244)*'План'!$B$9)</f>
      </c>
      <c r="E244">
        <f>IF('Журнал'!$B244="","",'Журнал'!$B244+'Журнал'!$C244+'Журнал'!$D244)</f>
      </c>
      <c r="F244">
        <f>IF('Журнал'!$E244="","",MAX(0,'План'!$B$2-'Журнал'!$E244))</f>
      </c>
    </row>
    <row r="245" spans="1:6" x14ac:dyDescent="0.25">
      <c r="A245">
        <v>244</v>
      </c>
      <c r="B245">
        <f>IF('Журнал'!$E244="","",'Журнал'!$E244)</f>
      </c>
      <c r="C245">
        <f>IF('Журнал'!$B245="","",'План'!$B$6)</f>
      </c>
      <c r="D245">
        <f>IF('Журнал'!$B245="","",('Журнал'!$B245+'Журнал'!$C245)*'План'!$B$9)</f>
      </c>
      <c r="E245">
        <f>IF('Журнал'!$B245="","",'Журнал'!$B245+'Журнал'!$C245+'Журнал'!$D245)</f>
      </c>
      <c r="F245">
        <f>IF('Журнал'!$E245="","",MAX(0,'План'!$B$2-'Журнал'!$E245))</f>
      </c>
    </row>
    <row r="246" spans="1:6" x14ac:dyDescent="0.25">
      <c r="A246">
        <v>245</v>
      </c>
      <c r="B246">
        <f>IF('Журнал'!$E245="","",'Журнал'!$E245)</f>
      </c>
      <c r="C246">
        <f>IF('Журнал'!$B246="","",'План'!$B$6)</f>
      </c>
      <c r="D246">
        <f>IF('Журнал'!$B246="","",('Журнал'!$B246+'Журнал'!$C246)*'План'!$B$9)</f>
      </c>
      <c r="E246">
        <f>IF('Журнал'!$B246="","",'Журнал'!$B246+'Журнал'!$C246+'Журнал'!$D246)</f>
      </c>
      <c r="F246">
        <f>IF('Журнал'!$E246="","",MAX(0,'План'!$B$2-'Журнал'!$E246))</f>
      </c>
    </row>
    <row r="247" spans="1:6" x14ac:dyDescent="0.25">
      <c r="A247">
        <v>246</v>
      </c>
      <c r="B247">
        <f>IF('Журнал'!$E246="","",'Журнал'!$E246)</f>
      </c>
      <c r="C247">
        <f>IF('Журнал'!$B247="","",'План'!$B$6)</f>
      </c>
      <c r="D247">
        <f>IF('Журнал'!$B247="","",('Журнал'!$B247+'Журнал'!$C247)*'План'!$B$9)</f>
      </c>
      <c r="E247">
        <f>IF('Журнал'!$B247="","",'Журнал'!$B247+'Журнал'!$C247+'Журнал'!$D247)</f>
      </c>
      <c r="F247">
        <f>IF('Журнал'!$E247="","",MAX(0,'План'!$B$2-'Журнал'!$E247))</f>
      </c>
    </row>
    <row r="248" spans="1:6" x14ac:dyDescent="0.25">
      <c r="A248">
        <v>247</v>
      </c>
      <c r="B248">
        <f>IF('Журнал'!$E247="","",'Журнал'!$E247)</f>
      </c>
      <c r="C248">
        <f>IF('Журнал'!$B248="","",'План'!$B$6)</f>
      </c>
      <c r="D248">
        <f>IF('Журнал'!$B248="","",('Журнал'!$B248+'Журнал'!$C248)*'План'!$B$9)</f>
      </c>
      <c r="E248">
        <f>IF('Журнал'!$B248="","",'Журнал'!$B248+'Журнал'!$C248+'Журнал'!$D248)</f>
      </c>
      <c r="F248">
        <f>IF('Журнал'!$E248="","",MAX(0,'План'!$B$2-'Журнал'!$E248))</f>
      </c>
    </row>
    <row r="249" spans="1:6" x14ac:dyDescent="0.25">
      <c r="A249">
        <v>248</v>
      </c>
      <c r="B249">
        <f>IF('Журнал'!$E248="","",'Журнал'!$E248)</f>
      </c>
      <c r="C249">
        <f>IF('Журнал'!$B249="","",'План'!$B$6)</f>
      </c>
      <c r="D249">
        <f>IF('Журнал'!$B249="","",('Журнал'!$B249+'Журнал'!$C249)*'План'!$B$9)</f>
      </c>
      <c r="E249">
        <f>IF('Журнал'!$B249="","",'Журнал'!$B249+'Журнал'!$C249+'Журнал'!$D249)</f>
      </c>
      <c r="F249">
        <f>IF('Журнал'!$E249="","",MAX(0,'План'!$B$2-'Журнал'!$E249))</f>
      </c>
    </row>
    <row r="250" spans="1:6" x14ac:dyDescent="0.25">
      <c r="A250">
        <v>249</v>
      </c>
      <c r="B250">
        <f>IF('Журнал'!$E249="","",'Журнал'!$E249)</f>
      </c>
      <c r="C250">
        <f>IF('Журнал'!$B250="","",'План'!$B$6)</f>
      </c>
      <c r="D250">
        <f>IF('Журнал'!$B250="","",('Журнал'!$B250+'Журнал'!$C250)*'План'!$B$9)</f>
      </c>
      <c r="E250">
        <f>IF('Журнал'!$B250="","",'Журнал'!$B250+'Журнал'!$C250+'Журнал'!$D250)</f>
      </c>
      <c r="F250">
        <f>IF('Журнал'!$E250="","",MAX(0,'План'!$B$2-'Журнал'!$E250))</f>
      </c>
    </row>
    <row r="251" spans="1:6" x14ac:dyDescent="0.25">
      <c r="A251">
        <v>250</v>
      </c>
      <c r="B251">
        <f>IF('Журнал'!$E250="","",'Журнал'!$E250)</f>
      </c>
      <c r="C251">
        <f>IF('Журнал'!$B251="","",'План'!$B$6)</f>
      </c>
      <c r="D251">
        <f>IF('Журнал'!$B251="","",('Журнал'!$B251+'Журнал'!$C251)*'План'!$B$9)</f>
      </c>
      <c r="E251">
        <f>IF('Журнал'!$B251="","",'Журнал'!$B251+'Журнал'!$C251+'Журнал'!$D251)</f>
      </c>
      <c r="F251">
        <f>IF('Журнал'!$E251="","",MAX(0,'План'!$B$2-'Журнал'!$E251))</f>
      </c>
    </row>
    <row r="252" spans="1:6" x14ac:dyDescent="0.25">
      <c r="A252">
        <v>251</v>
      </c>
      <c r="B252">
        <f>IF('Журнал'!$E251="","",'Журнал'!$E251)</f>
      </c>
      <c r="C252">
        <f>IF('Журнал'!$B252="","",'План'!$B$6)</f>
      </c>
      <c r="D252">
        <f>IF('Журнал'!$B252="","",('Журнал'!$B252+'Журнал'!$C252)*'План'!$B$9)</f>
      </c>
      <c r="E252">
        <f>IF('Журнал'!$B252="","",'Журнал'!$B252+'Журнал'!$C252+'Журнал'!$D252)</f>
      </c>
      <c r="F252">
        <f>IF('Журнал'!$E252="","",MAX(0,'План'!$B$2-'Журнал'!$E252))</f>
      </c>
    </row>
    <row r="253" spans="1:6" x14ac:dyDescent="0.25">
      <c r="A253">
        <v>252</v>
      </c>
      <c r="B253">
        <f>IF('Журнал'!$E252="","",'Журнал'!$E252)</f>
      </c>
      <c r="C253">
        <f>IF('Журнал'!$B253="","",'План'!$B$6)</f>
      </c>
      <c r="D253">
        <f>IF('Журнал'!$B253="","",('Журнал'!$B253+'Журнал'!$C253)*'План'!$B$9)</f>
      </c>
      <c r="E253">
        <f>IF('Журнал'!$B253="","",'Журнал'!$B253+'Журнал'!$C253+'Журнал'!$D253)</f>
      </c>
      <c r="F253">
        <f>IF('Журнал'!$E253="","",MAX(0,'План'!$B$2-'Журнал'!$E253))</f>
      </c>
    </row>
    <row r="254" spans="1:6" x14ac:dyDescent="0.25">
      <c r="A254">
        <v>253</v>
      </c>
      <c r="B254">
        <f>IF('Журнал'!$E253="","",'Журнал'!$E253)</f>
      </c>
      <c r="C254">
        <f>IF('Журнал'!$B254="","",'План'!$B$6)</f>
      </c>
      <c r="D254">
        <f>IF('Журнал'!$B254="","",('Журнал'!$B254+'Журнал'!$C254)*'План'!$B$9)</f>
      </c>
      <c r="E254">
        <f>IF('Журнал'!$B254="","",'Журнал'!$B254+'Журнал'!$C254+'Журнал'!$D254)</f>
      </c>
      <c r="F254">
        <f>IF('Журнал'!$E254="","",MAX(0,'План'!$B$2-'Журнал'!$E254))</f>
      </c>
    </row>
    <row r="255" spans="1:6" x14ac:dyDescent="0.25">
      <c r="A255">
        <v>254</v>
      </c>
      <c r="B255">
        <f>IF('Журнал'!$E254="","",'Журнал'!$E254)</f>
      </c>
      <c r="C255">
        <f>IF('Журнал'!$B255="","",'План'!$B$6)</f>
      </c>
      <c r="D255">
        <f>IF('Журнал'!$B255="","",('Журнал'!$B255+'Журнал'!$C255)*'План'!$B$9)</f>
      </c>
      <c r="E255">
        <f>IF('Журнал'!$B255="","",'Журнал'!$B255+'Журнал'!$C255+'Журнал'!$D255)</f>
      </c>
      <c r="F255">
        <f>IF('Журнал'!$E255="","",MAX(0,'План'!$B$2-'Журнал'!$E255))</f>
      </c>
    </row>
    <row r="256" spans="1:6" x14ac:dyDescent="0.25">
      <c r="A256">
        <v>255</v>
      </c>
      <c r="B256">
        <f>IF('Журнал'!$E255="","",'Журнал'!$E255)</f>
      </c>
      <c r="C256">
        <f>IF('Журнал'!$B256="","",'План'!$B$6)</f>
      </c>
      <c r="D256">
        <f>IF('Журнал'!$B256="","",('Журнал'!$B256+'Журнал'!$C256)*'План'!$B$9)</f>
      </c>
      <c r="E256">
        <f>IF('Журнал'!$B256="","",'Журнал'!$B256+'Журнал'!$C256+'Журнал'!$D256)</f>
      </c>
      <c r="F256">
        <f>IF('Журнал'!$E256="","",MAX(0,'План'!$B$2-'Журнал'!$E256))</f>
      </c>
    </row>
    <row r="257" spans="1:6" x14ac:dyDescent="0.25">
      <c r="A257">
        <v>256</v>
      </c>
      <c r="B257">
        <f>IF('Журнал'!$E256="","",'Журнал'!$E256)</f>
      </c>
      <c r="C257">
        <f>IF('Журнал'!$B257="","",'План'!$B$6)</f>
      </c>
      <c r="D257">
        <f>IF('Журнал'!$B257="","",('Журнал'!$B257+'Журнал'!$C257)*'План'!$B$9)</f>
      </c>
      <c r="E257">
        <f>IF('Журнал'!$B257="","",'Журнал'!$B257+'Журнал'!$C257+'Журнал'!$D257)</f>
      </c>
      <c r="F257">
        <f>IF('Журнал'!$E257="","",MAX(0,'План'!$B$2-'Журнал'!$E257))</f>
      </c>
    </row>
    <row r="258" spans="1:6" x14ac:dyDescent="0.25">
      <c r="A258">
        <v>257</v>
      </c>
      <c r="B258">
        <f>IF('Журнал'!$E257="","",'Журнал'!$E257)</f>
      </c>
      <c r="C258">
        <f>IF('Журнал'!$B258="","",'План'!$B$6)</f>
      </c>
      <c r="D258">
        <f>IF('Журнал'!$B258="","",('Журнал'!$B258+'Журнал'!$C258)*'План'!$B$9)</f>
      </c>
      <c r="E258">
        <f>IF('Журнал'!$B258="","",'Журнал'!$B258+'Журнал'!$C258+'Журнал'!$D258)</f>
      </c>
      <c r="F258">
        <f>IF('Журнал'!$E258="","",MAX(0,'План'!$B$2-'Журнал'!$E258))</f>
      </c>
    </row>
    <row r="259" spans="1:6" x14ac:dyDescent="0.25">
      <c r="A259">
        <v>258</v>
      </c>
      <c r="B259">
        <f>IF('Журнал'!$E258="","",'Журнал'!$E258)</f>
      </c>
      <c r="C259">
        <f>IF('Журнал'!$B259="","",'План'!$B$6)</f>
      </c>
      <c r="D259">
        <f>IF('Журнал'!$B259="","",('Журнал'!$B259+'Журнал'!$C259)*'План'!$B$9)</f>
      </c>
      <c r="E259">
        <f>IF('Журнал'!$B259="","",'Журнал'!$B259+'Журнал'!$C259+'Журнал'!$D259)</f>
      </c>
      <c r="F259">
        <f>IF('Журнал'!$E259="","",MAX(0,'План'!$B$2-'Журнал'!$E259))</f>
      </c>
    </row>
    <row r="260" spans="1:6" x14ac:dyDescent="0.25">
      <c r="A260">
        <v>259</v>
      </c>
      <c r="B260">
        <f>IF('Журнал'!$E259="","",'Журнал'!$E259)</f>
      </c>
      <c r="C260">
        <f>IF('Журнал'!$B260="","",'План'!$B$6)</f>
      </c>
      <c r="D260">
        <f>IF('Журнал'!$B260="","",('Журнал'!$B260+'Журнал'!$C260)*'План'!$B$9)</f>
      </c>
      <c r="E260">
        <f>IF('Журнал'!$B260="","",'Журнал'!$B260+'Журнал'!$C260+'Журнал'!$D260)</f>
      </c>
      <c r="F260">
        <f>IF('Журнал'!$E260="","",MAX(0,'План'!$B$2-'Журнал'!$E260))</f>
      </c>
    </row>
    <row r="261" spans="1:6" x14ac:dyDescent="0.25">
      <c r="A261">
        <v>260</v>
      </c>
      <c r="B261">
        <f>IF('Журнал'!$E260="","",'Журнал'!$E260)</f>
      </c>
      <c r="C261">
        <f>IF('Журнал'!$B261="","",'План'!$B$6)</f>
      </c>
      <c r="D261">
        <f>IF('Журнал'!$B261="","",('Журнал'!$B261+'Журнал'!$C261)*'План'!$B$9)</f>
      </c>
      <c r="E261">
        <f>IF('Журнал'!$B261="","",'Журнал'!$B261+'Журнал'!$C261+'Журнал'!$D261)</f>
      </c>
      <c r="F261">
        <f>IF('Журнал'!$E261="","",MAX(0,'План'!$B$2-'Журнал'!$E261))</f>
      </c>
    </row>
    <row r="262" spans="1:6" x14ac:dyDescent="0.25">
      <c r="A262">
        <v>261</v>
      </c>
      <c r="B262">
        <f>IF('Журнал'!$E261="","",'Журнал'!$E261)</f>
      </c>
      <c r="C262">
        <f>IF('Журнал'!$B262="","",'План'!$B$6)</f>
      </c>
      <c r="D262">
        <f>IF('Журнал'!$B262="","",('Журнал'!$B262+'Журнал'!$C262)*'План'!$B$9)</f>
      </c>
      <c r="E262">
        <f>IF('Журнал'!$B262="","",'Журнал'!$B262+'Журнал'!$C262+'Журнал'!$D262)</f>
      </c>
      <c r="F262">
        <f>IF('Журнал'!$E262="","",MAX(0,'План'!$B$2-'Журнал'!$E262))</f>
      </c>
    </row>
    <row r="263" spans="1:6" x14ac:dyDescent="0.25">
      <c r="A263">
        <v>262</v>
      </c>
      <c r="B263">
        <f>IF('Журнал'!$E262="","",'Журнал'!$E262)</f>
      </c>
      <c r="C263">
        <f>IF('Журнал'!$B263="","",'План'!$B$6)</f>
      </c>
      <c r="D263">
        <f>IF('Журнал'!$B263="","",('Журнал'!$B263+'Журнал'!$C263)*'План'!$B$9)</f>
      </c>
      <c r="E263">
        <f>IF('Журнал'!$B263="","",'Журнал'!$B263+'Журнал'!$C263+'Журнал'!$D263)</f>
      </c>
      <c r="F263">
        <f>IF('Журнал'!$E263="","",MAX(0,'План'!$B$2-'Журнал'!$E263))</f>
      </c>
    </row>
    <row r="264" spans="1:6" x14ac:dyDescent="0.25">
      <c r="A264">
        <v>263</v>
      </c>
      <c r="B264">
        <f>IF('Журнал'!$E263="","",'Журнал'!$E263)</f>
      </c>
      <c r="C264">
        <f>IF('Журнал'!$B264="","",'План'!$B$6)</f>
      </c>
      <c r="D264">
        <f>IF('Журнал'!$B264="","",('Журнал'!$B264+'Журнал'!$C264)*'План'!$B$9)</f>
      </c>
      <c r="E264">
        <f>IF('Журнал'!$B264="","",'Журнал'!$B264+'Журнал'!$C264+'Журнал'!$D264)</f>
      </c>
      <c r="F264">
        <f>IF('Журнал'!$E264="","",MAX(0,'План'!$B$2-'Журнал'!$E264))</f>
      </c>
    </row>
    <row r="265" spans="1:6" x14ac:dyDescent="0.25">
      <c r="A265">
        <v>264</v>
      </c>
      <c r="B265">
        <f>IF('Журнал'!$E264="","",'Журнал'!$E264)</f>
      </c>
      <c r="C265">
        <f>IF('Журнал'!$B265="","",'План'!$B$6)</f>
      </c>
      <c r="D265">
        <f>IF('Журнал'!$B265="","",('Журнал'!$B265+'Журнал'!$C265)*'План'!$B$9)</f>
      </c>
      <c r="E265">
        <f>IF('Журнал'!$B265="","",'Журнал'!$B265+'Журнал'!$C265+'Журнал'!$D265)</f>
      </c>
      <c r="F265">
        <f>IF('Журнал'!$E265="","",MAX(0,'План'!$B$2-'Журнал'!$E265))</f>
      </c>
    </row>
    <row r="266" spans="1:6" x14ac:dyDescent="0.25">
      <c r="A266">
        <v>265</v>
      </c>
      <c r="B266">
        <f>IF('Журнал'!$E265="","",'Журнал'!$E265)</f>
      </c>
      <c r="C266">
        <f>IF('Журнал'!$B266="","",'План'!$B$6)</f>
      </c>
      <c r="D266">
        <f>IF('Журнал'!$B266="","",('Журнал'!$B266+'Журнал'!$C266)*'План'!$B$9)</f>
      </c>
      <c r="E266">
        <f>IF('Журнал'!$B266="","",'Журнал'!$B266+'Журнал'!$C266+'Журнал'!$D266)</f>
      </c>
      <c r="F266">
        <f>IF('Журнал'!$E266="","",MAX(0,'План'!$B$2-'Журнал'!$E266))</f>
      </c>
    </row>
    <row r="267" spans="1:6" x14ac:dyDescent="0.25">
      <c r="A267">
        <v>266</v>
      </c>
      <c r="B267">
        <f>IF('Журнал'!$E266="","",'Журнал'!$E266)</f>
      </c>
      <c r="C267">
        <f>IF('Журнал'!$B267="","",'План'!$B$6)</f>
      </c>
      <c r="D267">
        <f>IF('Журнал'!$B267="","",('Журнал'!$B267+'Журнал'!$C267)*'План'!$B$9)</f>
      </c>
      <c r="E267">
        <f>IF('Журнал'!$B267="","",'Журнал'!$B267+'Журнал'!$C267+'Журнал'!$D267)</f>
      </c>
      <c r="F267">
        <f>IF('Журнал'!$E267="","",MAX(0,'План'!$B$2-'Журнал'!$E267))</f>
      </c>
    </row>
    <row r="268" spans="1:6" x14ac:dyDescent="0.25">
      <c r="A268">
        <v>267</v>
      </c>
      <c r="B268">
        <f>IF('Журнал'!$E267="","",'Журнал'!$E267)</f>
      </c>
      <c r="C268">
        <f>IF('Журнал'!$B268="","",'План'!$B$6)</f>
      </c>
      <c r="D268">
        <f>IF('Журнал'!$B268="","",('Журнал'!$B268+'Журнал'!$C268)*'План'!$B$9)</f>
      </c>
      <c r="E268">
        <f>IF('Журнал'!$B268="","",'Журнал'!$B268+'Журнал'!$C268+'Журнал'!$D268)</f>
      </c>
      <c r="F268">
        <f>IF('Журнал'!$E268="","",MAX(0,'План'!$B$2-'Журнал'!$E268))</f>
      </c>
    </row>
    <row r="269" spans="1:6" x14ac:dyDescent="0.25">
      <c r="A269">
        <v>268</v>
      </c>
      <c r="B269">
        <f>IF('Журнал'!$E268="","",'Журнал'!$E268)</f>
      </c>
      <c r="C269">
        <f>IF('Журнал'!$B269="","",'План'!$B$6)</f>
      </c>
      <c r="D269">
        <f>IF('Журнал'!$B269="","",('Журнал'!$B269+'Журнал'!$C269)*'План'!$B$9)</f>
      </c>
      <c r="E269">
        <f>IF('Журнал'!$B269="","",'Журнал'!$B269+'Журнал'!$C269+'Журнал'!$D269)</f>
      </c>
      <c r="F269">
        <f>IF('Журнал'!$E269="","",MAX(0,'План'!$B$2-'Журнал'!$E269))</f>
      </c>
    </row>
    <row r="270" spans="1:6" x14ac:dyDescent="0.25">
      <c r="A270">
        <v>269</v>
      </c>
      <c r="B270">
        <f>IF('Журнал'!$E269="","",'Журнал'!$E269)</f>
      </c>
      <c r="C270">
        <f>IF('Журнал'!$B270="","",'План'!$B$6)</f>
      </c>
      <c r="D270">
        <f>IF('Журнал'!$B270="","",('Журнал'!$B270+'Журнал'!$C270)*'План'!$B$9)</f>
      </c>
      <c r="E270">
        <f>IF('Журнал'!$B270="","",'Журнал'!$B270+'Журнал'!$C270+'Журнал'!$D270)</f>
      </c>
      <c r="F270">
        <f>IF('Журнал'!$E270="","",MAX(0,'План'!$B$2-'Журнал'!$E270))</f>
      </c>
    </row>
    <row r="271" spans="1:6" x14ac:dyDescent="0.25">
      <c r="A271">
        <v>270</v>
      </c>
      <c r="B271">
        <f>IF('Журнал'!$E270="","",'Журнал'!$E270)</f>
      </c>
      <c r="C271">
        <f>IF('Журнал'!$B271="","",'План'!$B$6)</f>
      </c>
      <c r="D271">
        <f>IF('Журнал'!$B271="","",('Журнал'!$B271+'Журнал'!$C271)*'План'!$B$9)</f>
      </c>
      <c r="E271">
        <f>IF('Журнал'!$B271="","",'Журнал'!$B271+'Журнал'!$C271+'Журнал'!$D271)</f>
      </c>
      <c r="F271">
        <f>IF('Журнал'!$E271="","",MAX(0,'План'!$B$2-'Журнал'!$E271))</f>
      </c>
    </row>
    <row r="272" spans="1:6" x14ac:dyDescent="0.25">
      <c r="A272">
        <v>271</v>
      </c>
      <c r="B272">
        <f>IF('Журнал'!$E271="","",'Журнал'!$E271)</f>
      </c>
      <c r="C272">
        <f>IF('Журнал'!$B272="","",'План'!$B$6)</f>
      </c>
      <c r="D272">
        <f>IF('Журнал'!$B272="","",('Журнал'!$B272+'Журнал'!$C272)*'План'!$B$9)</f>
      </c>
      <c r="E272">
        <f>IF('Журнал'!$B272="","",'Журнал'!$B272+'Журнал'!$C272+'Журнал'!$D272)</f>
      </c>
      <c r="F272">
        <f>IF('Журнал'!$E272="","",MAX(0,'План'!$B$2-'Журнал'!$E272))</f>
      </c>
    </row>
    <row r="273" spans="1:6" x14ac:dyDescent="0.25">
      <c r="A273">
        <v>272</v>
      </c>
      <c r="B273">
        <f>IF('Журнал'!$E272="","",'Журнал'!$E272)</f>
      </c>
      <c r="C273">
        <f>IF('Журнал'!$B273="","",'План'!$B$6)</f>
      </c>
      <c r="D273">
        <f>IF('Журнал'!$B273="","",('Журнал'!$B273+'Журнал'!$C273)*'План'!$B$9)</f>
      </c>
      <c r="E273">
        <f>IF('Журнал'!$B273="","",'Журнал'!$B273+'Журнал'!$C273+'Журнал'!$D273)</f>
      </c>
      <c r="F273">
        <f>IF('Журнал'!$E273="","",MAX(0,'План'!$B$2-'Журнал'!$E273))</f>
      </c>
    </row>
    <row r="274" spans="1:6" x14ac:dyDescent="0.25">
      <c r="A274">
        <v>273</v>
      </c>
      <c r="B274">
        <f>IF('Журнал'!$E273="","",'Журнал'!$E273)</f>
      </c>
      <c r="C274">
        <f>IF('Журнал'!$B274="","",'План'!$B$6)</f>
      </c>
      <c r="D274">
        <f>IF('Журнал'!$B274="","",('Журнал'!$B274+'Журнал'!$C274)*'План'!$B$9)</f>
      </c>
      <c r="E274">
        <f>IF('Журнал'!$B274="","",'Журнал'!$B274+'Журнал'!$C274+'Журнал'!$D274)</f>
      </c>
      <c r="F274">
        <f>IF('Журнал'!$E274="","",MAX(0,'План'!$B$2-'Журнал'!$E274))</f>
      </c>
    </row>
    <row r="275" spans="1:6" x14ac:dyDescent="0.25">
      <c r="A275">
        <v>274</v>
      </c>
      <c r="B275">
        <f>IF('Журнал'!$E274="","",'Журнал'!$E274)</f>
      </c>
      <c r="C275">
        <f>IF('Журнал'!$B275="","",'План'!$B$6)</f>
      </c>
      <c r="D275">
        <f>IF('Журнал'!$B275="","",('Журнал'!$B275+'Журнал'!$C275)*'План'!$B$9)</f>
      </c>
      <c r="E275">
        <f>IF('Журнал'!$B275="","",'Журнал'!$B275+'Журнал'!$C275+'Журнал'!$D275)</f>
      </c>
      <c r="F275">
        <f>IF('Журнал'!$E275="","",MAX(0,'План'!$B$2-'Журнал'!$E275))</f>
      </c>
    </row>
    <row r="276" spans="1:6" x14ac:dyDescent="0.25">
      <c r="A276">
        <v>275</v>
      </c>
      <c r="B276">
        <f>IF('Журнал'!$E275="","",'Журнал'!$E275)</f>
      </c>
      <c r="C276">
        <f>IF('Журнал'!$B276="","",'План'!$B$6)</f>
      </c>
      <c r="D276">
        <f>IF('Журнал'!$B276="","",('Журнал'!$B276+'Журнал'!$C276)*'План'!$B$9)</f>
      </c>
      <c r="E276">
        <f>IF('Журнал'!$B276="","",'Журнал'!$B276+'Журнал'!$C276+'Журнал'!$D276)</f>
      </c>
      <c r="F276">
        <f>IF('Журнал'!$E276="","",MAX(0,'План'!$B$2-'Журнал'!$E276))</f>
      </c>
    </row>
    <row r="277" spans="1:6" x14ac:dyDescent="0.25">
      <c r="A277">
        <v>276</v>
      </c>
      <c r="B277">
        <f>IF('Журнал'!$E276="","",'Журнал'!$E276)</f>
      </c>
      <c r="C277">
        <f>IF('Журнал'!$B277="","",'План'!$B$6)</f>
      </c>
      <c r="D277">
        <f>IF('Журнал'!$B277="","",('Журнал'!$B277+'Журнал'!$C277)*'План'!$B$9)</f>
      </c>
      <c r="E277">
        <f>IF('Журнал'!$B277="","",'Журнал'!$B277+'Журнал'!$C277+'Журнал'!$D277)</f>
      </c>
      <c r="F277">
        <f>IF('Журнал'!$E277="","",MAX(0,'План'!$B$2-'Журнал'!$E277))</f>
      </c>
    </row>
    <row r="278" spans="1:6" x14ac:dyDescent="0.25">
      <c r="A278">
        <v>277</v>
      </c>
      <c r="B278">
        <f>IF('Журнал'!$E277="","",'Журнал'!$E277)</f>
      </c>
      <c r="C278">
        <f>IF('Журнал'!$B278="","",'План'!$B$6)</f>
      </c>
      <c r="D278">
        <f>IF('Журнал'!$B278="","",('Журнал'!$B278+'Журнал'!$C278)*'План'!$B$9)</f>
      </c>
      <c r="E278">
        <f>IF('Журнал'!$B278="","",'Журнал'!$B278+'Журнал'!$C278+'Журнал'!$D278)</f>
      </c>
      <c r="F278">
        <f>IF('Журнал'!$E278="","",MAX(0,'План'!$B$2-'Журнал'!$E278))</f>
      </c>
    </row>
    <row r="279" spans="1:6" x14ac:dyDescent="0.25">
      <c r="A279">
        <v>278</v>
      </c>
      <c r="B279">
        <f>IF('Журнал'!$E278="","",'Журнал'!$E278)</f>
      </c>
      <c r="C279">
        <f>IF('Журнал'!$B279="","",'План'!$B$6)</f>
      </c>
      <c r="D279">
        <f>IF('Журнал'!$B279="","",('Журнал'!$B279+'Журнал'!$C279)*'План'!$B$9)</f>
      </c>
      <c r="E279">
        <f>IF('Журнал'!$B279="","",'Журнал'!$B279+'Журнал'!$C279+'Журнал'!$D279)</f>
      </c>
      <c r="F279">
        <f>IF('Журнал'!$E279="","",MAX(0,'План'!$B$2-'Журнал'!$E279))</f>
      </c>
    </row>
    <row r="280" spans="1:6" x14ac:dyDescent="0.25">
      <c r="A280">
        <v>279</v>
      </c>
      <c r="B280">
        <f>IF('Журнал'!$E279="","",'Журнал'!$E279)</f>
      </c>
      <c r="C280">
        <f>IF('Журнал'!$B280="","",'План'!$B$6)</f>
      </c>
      <c r="D280">
        <f>IF('Журнал'!$B280="","",('Журнал'!$B280+'Журнал'!$C280)*'План'!$B$9)</f>
      </c>
      <c r="E280">
        <f>IF('Журнал'!$B280="","",'Журнал'!$B280+'Журнал'!$C280+'Журнал'!$D280)</f>
      </c>
      <c r="F280">
        <f>IF('Журнал'!$E280="","",MAX(0,'План'!$B$2-'Журнал'!$E280))</f>
      </c>
    </row>
    <row r="281" spans="1:6" x14ac:dyDescent="0.25">
      <c r="A281">
        <v>280</v>
      </c>
      <c r="B281">
        <f>IF('Журнал'!$E280="","",'Журнал'!$E280)</f>
      </c>
      <c r="C281">
        <f>IF('Журнал'!$B281="","",'План'!$B$6)</f>
      </c>
      <c r="D281">
        <f>IF('Журнал'!$B281="","",('Журнал'!$B281+'Журнал'!$C281)*'План'!$B$9)</f>
      </c>
      <c r="E281">
        <f>IF('Журнал'!$B281="","",'Журнал'!$B281+'Журнал'!$C281+'Журнал'!$D281)</f>
      </c>
      <c r="F281">
        <f>IF('Журнал'!$E281="","",MAX(0,'План'!$B$2-'Журнал'!$E281))</f>
      </c>
    </row>
    <row r="282" spans="1:6" x14ac:dyDescent="0.25">
      <c r="A282">
        <v>281</v>
      </c>
      <c r="B282">
        <f>IF('Журнал'!$E281="","",'Журнал'!$E281)</f>
      </c>
      <c r="C282">
        <f>IF('Журнал'!$B282="","",'План'!$B$6)</f>
      </c>
      <c r="D282">
        <f>IF('Журнал'!$B282="","",('Журнал'!$B282+'Журнал'!$C282)*'План'!$B$9)</f>
      </c>
      <c r="E282">
        <f>IF('Журнал'!$B282="","",'Журнал'!$B282+'Журнал'!$C282+'Журнал'!$D282)</f>
      </c>
      <c r="F282">
        <f>IF('Журнал'!$E282="","",MAX(0,'План'!$B$2-'Журнал'!$E282))</f>
      </c>
    </row>
    <row r="283" spans="1:6" x14ac:dyDescent="0.25">
      <c r="A283">
        <v>282</v>
      </c>
      <c r="B283">
        <f>IF('Журнал'!$E282="","",'Журнал'!$E282)</f>
      </c>
      <c r="C283">
        <f>IF('Журнал'!$B283="","",'План'!$B$6)</f>
      </c>
      <c r="D283">
        <f>IF('Журнал'!$B283="","",('Журнал'!$B283+'Журнал'!$C283)*'План'!$B$9)</f>
      </c>
      <c r="E283">
        <f>IF('Журнал'!$B283="","",'Журнал'!$B283+'Журнал'!$C283+'Журнал'!$D283)</f>
      </c>
      <c r="F283">
        <f>IF('Журнал'!$E283="","",MAX(0,'План'!$B$2-'Журнал'!$E283))</f>
      </c>
    </row>
    <row r="284" spans="1:6" x14ac:dyDescent="0.25">
      <c r="A284">
        <v>283</v>
      </c>
      <c r="B284">
        <f>IF('Журнал'!$E283="","",'Журнал'!$E283)</f>
      </c>
      <c r="C284">
        <f>IF('Журнал'!$B284="","",'План'!$B$6)</f>
      </c>
      <c r="D284">
        <f>IF('Журнал'!$B284="","",('Журнал'!$B284+'Журнал'!$C284)*'План'!$B$9)</f>
      </c>
      <c r="E284">
        <f>IF('Журнал'!$B284="","",'Журнал'!$B284+'Журнал'!$C284+'Журнал'!$D284)</f>
      </c>
      <c r="F284">
        <f>IF('Журнал'!$E284="","",MAX(0,'План'!$B$2-'Журнал'!$E284))</f>
      </c>
    </row>
    <row r="285" spans="1:6" x14ac:dyDescent="0.25">
      <c r="A285">
        <v>284</v>
      </c>
      <c r="B285">
        <f>IF('Журнал'!$E284="","",'Журнал'!$E284)</f>
      </c>
      <c r="C285">
        <f>IF('Журнал'!$B285="","",'План'!$B$6)</f>
      </c>
      <c r="D285">
        <f>IF('Журнал'!$B285="","",('Журнал'!$B285+'Журнал'!$C285)*'План'!$B$9)</f>
      </c>
      <c r="E285">
        <f>IF('Журнал'!$B285="","",'Журнал'!$B285+'Журнал'!$C285+'Журнал'!$D285)</f>
      </c>
      <c r="F285">
        <f>IF('Журнал'!$E285="","",MAX(0,'План'!$B$2-'Журнал'!$E285))</f>
      </c>
    </row>
    <row r="286" spans="1:6" x14ac:dyDescent="0.25">
      <c r="A286">
        <v>285</v>
      </c>
      <c r="B286">
        <f>IF('Журнал'!$E285="","",'Журнал'!$E285)</f>
      </c>
      <c r="C286">
        <f>IF('Журнал'!$B286="","",'План'!$B$6)</f>
      </c>
      <c r="D286">
        <f>IF('Журнал'!$B286="","",('Журнал'!$B286+'Журнал'!$C286)*'План'!$B$9)</f>
      </c>
      <c r="E286">
        <f>IF('Журнал'!$B286="","",'Журнал'!$B286+'Журнал'!$C286+'Журнал'!$D286)</f>
      </c>
      <c r="F286">
        <f>IF('Журнал'!$E286="","",MAX(0,'План'!$B$2-'Журнал'!$E286))</f>
      </c>
    </row>
    <row r="287" spans="1:6" x14ac:dyDescent="0.25">
      <c r="A287">
        <v>286</v>
      </c>
      <c r="B287">
        <f>IF('Журнал'!$E286="","",'Журнал'!$E286)</f>
      </c>
      <c r="C287">
        <f>IF('Журнал'!$B287="","",'План'!$B$6)</f>
      </c>
      <c r="D287">
        <f>IF('Журнал'!$B287="","",('Журнал'!$B287+'Журнал'!$C287)*'План'!$B$9)</f>
      </c>
      <c r="E287">
        <f>IF('Журнал'!$B287="","",'Журнал'!$B287+'Журнал'!$C287+'Журнал'!$D287)</f>
      </c>
      <c r="F287">
        <f>IF('Журнал'!$E287="","",MAX(0,'План'!$B$2-'Журнал'!$E287))</f>
      </c>
    </row>
    <row r="288" spans="1:6" x14ac:dyDescent="0.25">
      <c r="A288">
        <v>287</v>
      </c>
      <c r="B288">
        <f>IF('Журнал'!$E287="","",'Журнал'!$E287)</f>
      </c>
      <c r="C288">
        <f>IF('Журнал'!$B288="","",'План'!$B$6)</f>
      </c>
      <c r="D288">
        <f>IF('Журнал'!$B288="","",('Журнал'!$B288+'Журнал'!$C288)*'План'!$B$9)</f>
      </c>
      <c r="E288">
        <f>IF('Журнал'!$B288="","",'Журнал'!$B288+'Журнал'!$C288+'Журнал'!$D288)</f>
      </c>
      <c r="F288">
        <f>IF('Журнал'!$E288="","",MAX(0,'План'!$B$2-'Журнал'!$E288))</f>
      </c>
    </row>
    <row r="289" spans="1:6" x14ac:dyDescent="0.25">
      <c r="A289">
        <v>288</v>
      </c>
      <c r="B289">
        <f>IF('Журнал'!$E288="","",'Журнал'!$E288)</f>
      </c>
      <c r="C289">
        <f>IF('Журнал'!$B289="","",'План'!$B$6)</f>
      </c>
      <c r="D289">
        <f>IF('Журнал'!$B289="","",('Журнал'!$B289+'Журнал'!$C289)*'План'!$B$9)</f>
      </c>
      <c r="E289">
        <f>IF('Журнал'!$B289="","",'Журнал'!$B289+'Журнал'!$C289+'Журнал'!$D289)</f>
      </c>
      <c r="F289">
        <f>IF('Журнал'!$E289="","",MAX(0,'План'!$B$2-'Журнал'!$E289))</f>
      </c>
    </row>
    <row r="290" spans="1:6" x14ac:dyDescent="0.25">
      <c r="A290">
        <v>289</v>
      </c>
      <c r="B290">
        <f>IF('Журнал'!$E289="","",'Журнал'!$E289)</f>
      </c>
      <c r="C290">
        <f>IF('Журнал'!$B290="","",'План'!$B$6)</f>
      </c>
      <c r="D290">
        <f>IF('Журнал'!$B290="","",('Журнал'!$B290+'Журнал'!$C290)*'План'!$B$9)</f>
      </c>
      <c r="E290">
        <f>IF('Журнал'!$B290="","",'Журнал'!$B290+'Журнал'!$C290+'Журнал'!$D290)</f>
      </c>
      <c r="F290">
        <f>IF('Журнал'!$E290="","",MAX(0,'План'!$B$2-'Журнал'!$E290))</f>
      </c>
    </row>
    <row r="291" spans="1:6" x14ac:dyDescent="0.25">
      <c r="A291">
        <v>290</v>
      </c>
      <c r="B291">
        <f>IF('Журнал'!$E290="","",'Журнал'!$E290)</f>
      </c>
      <c r="C291">
        <f>IF('Журнал'!$B291="","",'План'!$B$6)</f>
      </c>
      <c r="D291">
        <f>IF('Журнал'!$B291="","",('Журнал'!$B291+'Журнал'!$C291)*'План'!$B$9)</f>
      </c>
      <c r="E291">
        <f>IF('Журнал'!$B291="","",'Журнал'!$B291+'Журнал'!$C291+'Журнал'!$D291)</f>
      </c>
      <c r="F291">
        <f>IF('Журнал'!$E291="","",MAX(0,'План'!$B$2-'Журнал'!$E291))</f>
      </c>
    </row>
    <row r="292" spans="1:6" x14ac:dyDescent="0.25">
      <c r="A292">
        <v>291</v>
      </c>
      <c r="B292">
        <f>IF('Журнал'!$E291="","",'Журнал'!$E291)</f>
      </c>
      <c r="C292">
        <f>IF('Журнал'!$B292="","",'План'!$B$6)</f>
      </c>
      <c r="D292">
        <f>IF('Журнал'!$B292="","",('Журнал'!$B292+'Журнал'!$C292)*'План'!$B$9)</f>
      </c>
      <c r="E292">
        <f>IF('Журнал'!$B292="","",'Журнал'!$B292+'Журнал'!$C292+'Журнал'!$D292)</f>
      </c>
      <c r="F292">
        <f>IF('Журнал'!$E292="","",MAX(0,'План'!$B$2-'Журнал'!$E292))</f>
      </c>
    </row>
    <row r="293" spans="1:6" x14ac:dyDescent="0.25">
      <c r="A293">
        <v>292</v>
      </c>
      <c r="B293">
        <f>IF('Журнал'!$E292="","",'Журнал'!$E292)</f>
      </c>
      <c r="C293">
        <f>IF('Журнал'!$B293="","",'План'!$B$6)</f>
      </c>
      <c r="D293">
        <f>IF('Журнал'!$B293="","",('Журнал'!$B293+'Журнал'!$C293)*'План'!$B$9)</f>
      </c>
      <c r="E293">
        <f>IF('Журнал'!$B293="","",'Журнал'!$B293+'Журнал'!$C293+'Журнал'!$D293)</f>
      </c>
      <c r="F293">
        <f>IF('Журнал'!$E293="","",MAX(0,'План'!$B$2-'Журнал'!$E293))</f>
      </c>
    </row>
    <row r="294" spans="1:6" x14ac:dyDescent="0.25">
      <c r="A294">
        <v>293</v>
      </c>
      <c r="B294">
        <f>IF('Журнал'!$E293="","",'Журнал'!$E293)</f>
      </c>
      <c r="C294">
        <f>IF('Журнал'!$B294="","",'План'!$B$6)</f>
      </c>
      <c r="D294">
        <f>IF('Журнал'!$B294="","",('Журнал'!$B294+'Журнал'!$C294)*'План'!$B$9)</f>
      </c>
      <c r="E294">
        <f>IF('Журнал'!$B294="","",'Журнал'!$B294+'Журнал'!$C294+'Журнал'!$D294)</f>
      </c>
      <c r="F294">
        <f>IF('Журнал'!$E294="","",MAX(0,'План'!$B$2-'Журнал'!$E294))</f>
      </c>
    </row>
    <row r="295" spans="1:6" x14ac:dyDescent="0.25">
      <c r="A295">
        <v>294</v>
      </c>
      <c r="B295">
        <f>IF('Журнал'!$E294="","",'Журнал'!$E294)</f>
      </c>
      <c r="C295">
        <f>IF('Журнал'!$B295="","",'План'!$B$6)</f>
      </c>
      <c r="D295">
        <f>IF('Журнал'!$B295="","",('Журнал'!$B295+'Журнал'!$C295)*'План'!$B$9)</f>
      </c>
      <c r="E295">
        <f>IF('Журнал'!$B295="","",'Журнал'!$B295+'Журнал'!$C295+'Журнал'!$D295)</f>
      </c>
      <c r="F295">
        <f>IF('Журнал'!$E295="","",MAX(0,'План'!$B$2-'Журнал'!$E295))</f>
      </c>
    </row>
    <row r="296" spans="1:6" x14ac:dyDescent="0.25">
      <c r="A296">
        <v>295</v>
      </c>
      <c r="B296">
        <f>IF('Журнал'!$E295="","",'Журнал'!$E295)</f>
      </c>
      <c r="C296">
        <f>IF('Журнал'!$B296="","",'План'!$B$6)</f>
      </c>
      <c r="D296">
        <f>IF('Журнал'!$B296="","",('Журнал'!$B296+'Журнал'!$C296)*'План'!$B$9)</f>
      </c>
      <c r="E296">
        <f>IF('Журнал'!$B296="","",'Журнал'!$B296+'Журнал'!$C296+'Журнал'!$D296)</f>
      </c>
      <c r="F296">
        <f>IF('Журнал'!$E296="","",MAX(0,'План'!$B$2-'Журнал'!$E296))</f>
      </c>
    </row>
    <row r="297" spans="1:6" x14ac:dyDescent="0.25">
      <c r="A297">
        <v>296</v>
      </c>
      <c r="B297">
        <f>IF('Журнал'!$E296="","",'Журнал'!$E296)</f>
      </c>
      <c r="C297">
        <f>IF('Журнал'!$B297="","",'План'!$B$6)</f>
      </c>
      <c r="D297">
        <f>IF('Журнал'!$B297="","",('Журнал'!$B297+'Журнал'!$C297)*'План'!$B$9)</f>
      </c>
      <c r="E297">
        <f>IF('Журнал'!$B297="","",'Журнал'!$B297+'Журнал'!$C297+'Журнал'!$D297)</f>
      </c>
      <c r="F297">
        <f>IF('Журнал'!$E297="","",MAX(0,'План'!$B$2-'Журнал'!$E297))</f>
      </c>
    </row>
    <row r="298" spans="1:6" x14ac:dyDescent="0.25">
      <c r="A298">
        <v>297</v>
      </c>
      <c r="B298">
        <f>IF('Журнал'!$E297="","",'Журнал'!$E297)</f>
      </c>
      <c r="C298">
        <f>IF('Журнал'!$B298="","",'План'!$B$6)</f>
      </c>
      <c r="D298">
        <f>IF('Журнал'!$B298="","",('Журнал'!$B298+'Журнал'!$C298)*'План'!$B$9)</f>
      </c>
      <c r="E298">
        <f>IF('Журнал'!$B298="","",'Журнал'!$B298+'Журнал'!$C298+'Журнал'!$D298)</f>
      </c>
      <c r="F298">
        <f>IF('Журнал'!$E298="","",MAX(0,'План'!$B$2-'Журнал'!$E298))</f>
      </c>
    </row>
    <row r="299" spans="1:6" x14ac:dyDescent="0.25">
      <c r="A299">
        <v>298</v>
      </c>
      <c r="B299">
        <f>IF('Журнал'!$E298="","",'Журнал'!$E298)</f>
      </c>
      <c r="C299">
        <f>IF('Журнал'!$B299="","",'План'!$B$6)</f>
      </c>
      <c r="D299">
        <f>IF('Журнал'!$B299="","",('Журнал'!$B299+'Журнал'!$C299)*'План'!$B$9)</f>
      </c>
      <c r="E299">
        <f>IF('Журнал'!$B299="","",'Журнал'!$B299+'Журнал'!$C299+'Журнал'!$D299)</f>
      </c>
      <c r="F299">
        <f>IF('Журнал'!$E299="","",MAX(0,'План'!$B$2-'Журнал'!$E299))</f>
      </c>
    </row>
    <row r="300" spans="1:6" x14ac:dyDescent="0.25">
      <c r="A300">
        <v>299</v>
      </c>
      <c r="B300">
        <f>IF('Журнал'!$E299="","",'Журнал'!$E299)</f>
      </c>
      <c r="C300">
        <f>IF('Журнал'!$B300="","",'План'!$B$6)</f>
      </c>
      <c r="D300">
        <f>IF('Журнал'!$B300="","",('Журнал'!$B300+'Журнал'!$C300)*'План'!$B$9)</f>
      </c>
      <c r="E300">
        <f>IF('Журнал'!$B300="","",'Журнал'!$B300+'Журнал'!$C300+'Журнал'!$D300)</f>
      </c>
      <c r="F300">
        <f>IF('Журнал'!$E300="","",MAX(0,'План'!$B$2-'Журнал'!$E300))</f>
      </c>
    </row>
    <row r="301" spans="1:6" x14ac:dyDescent="0.25">
      <c r="A301">
        <v>300</v>
      </c>
      <c r="B301">
        <f>IF('Журнал'!$E300="","",'Журнал'!$E300)</f>
      </c>
      <c r="C301">
        <f>IF('Журнал'!$B301="","",'План'!$B$6)</f>
      </c>
      <c r="D301">
        <f>IF('Журнал'!$B301="","",('Журнал'!$B301+'Журнал'!$C301)*'План'!$B$9)</f>
      </c>
      <c r="E301">
        <f>IF('Журнал'!$B301="","",'Журнал'!$B301+'Журнал'!$C301+'Журнал'!$D301)</f>
      </c>
      <c r="F301">
        <f>IF('Журнал'!$E301="","",MAX(0,'План'!$B$2-'Журнал'!$E301))</f>
      </c>
    </row>
    <row r="302" spans="1:6" x14ac:dyDescent="0.25">
      <c r="A302">
        <v>301</v>
      </c>
      <c r="B302">
        <f>IF('Журнал'!$E301="","",'Журнал'!$E301)</f>
      </c>
      <c r="C302">
        <f>IF('Журнал'!$B302="","",'План'!$B$6)</f>
      </c>
      <c r="D302">
        <f>IF('Журнал'!$B302="","",('Журнал'!$B302+'Журнал'!$C302)*'План'!$B$9)</f>
      </c>
      <c r="E302">
        <f>IF('Журнал'!$B302="","",'Журнал'!$B302+'Журнал'!$C302+'Журнал'!$D302)</f>
      </c>
      <c r="F302">
        <f>IF('Журнал'!$E302="","",MAX(0,'План'!$B$2-'Журнал'!$E302))</f>
      </c>
    </row>
    <row r="303" spans="1:6" x14ac:dyDescent="0.25">
      <c r="A303">
        <v>302</v>
      </c>
      <c r="B303">
        <f>IF('Журнал'!$E302="","",'Журнал'!$E302)</f>
      </c>
      <c r="C303">
        <f>IF('Журнал'!$B303="","",'План'!$B$6)</f>
      </c>
      <c r="D303">
        <f>IF('Журнал'!$B303="","",('Журнал'!$B303+'Журнал'!$C303)*'План'!$B$9)</f>
      </c>
      <c r="E303">
        <f>IF('Журнал'!$B303="","",'Журнал'!$B303+'Журнал'!$C303+'Журнал'!$D303)</f>
      </c>
      <c r="F303">
        <f>IF('Журнал'!$E303="","",MAX(0,'План'!$B$2-'Журнал'!$E303))</f>
      </c>
    </row>
    <row r="304" spans="1:6" x14ac:dyDescent="0.25">
      <c r="A304">
        <v>303</v>
      </c>
      <c r="B304">
        <f>IF('Журнал'!$E303="","",'Журнал'!$E303)</f>
      </c>
      <c r="C304">
        <f>IF('Журнал'!$B304="","",'План'!$B$6)</f>
      </c>
      <c r="D304">
        <f>IF('Журнал'!$B304="","",('Журнал'!$B304+'Журнал'!$C304)*'План'!$B$9)</f>
      </c>
      <c r="E304">
        <f>IF('Журнал'!$B304="","",'Журнал'!$B304+'Журнал'!$C304+'Журнал'!$D304)</f>
      </c>
      <c r="F304">
        <f>IF('Журнал'!$E304="","",MAX(0,'План'!$B$2-'Журнал'!$E304))</f>
      </c>
    </row>
    <row r="305" spans="1:6" x14ac:dyDescent="0.25">
      <c r="A305">
        <v>304</v>
      </c>
      <c r="B305">
        <f>IF('Журнал'!$E304="","",'Журнал'!$E304)</f>
      </c>
      <c r="C305">
        <f>IF('Журнал'!$B305="","",'План'!$B$6)</f>
      </c>
      <c r="D305">
        <f>IF('Журнал'!$B305="","",('Журнал'!$B305+'Журнал'!$C305)*'План'!$B$9)</f>
      </c>
      <c r="E305">
        <f>IF('Журнал'!$B305="","",'Журнал'!$B305+'Журнал'!$C305+'Журнал'!$D305)</f>
      </c>
      <c r="F305">
        <f>IF('Журнал'!$E305="","",MAX(0,'План'!$B$2-'Журнал'!$E305))</f>
      </c>
    </row>
    <row r="306" spans="1:6" x14ac:dyDescent="0.25">
      <c r="A306">
        <v>305</v>
      </c>
      <c r="B306">
        <f>IF('Журнал'!$E305="","",'Журнал'!$E305)</f>
      </c>
      <c r="C306">
        <f>IF('Журнал'!$B306="","",'План'!$B$6)</f>
      </c>
      <c r="D306">
        <f>IF('Журнал'!$B306="","",('Журнал'!$B306+'Журнал'!$C306)*'План'!$B$9)</f>
      </c>
      <c r="E306">
        <f>IF('Журнал'!$B306="","",'Журнал'!$B306+'Журнал'!$C306+'Журнал'!$D306)</f>
      </c>
      <c r="F306">
        <f>IF('Журнал'!$E306="","",MAX(0,'План'!$B$2-'Журнал'!$E306))</f>
      </c>
    </row>
    <row r="307" spans="1:6" x14ac:dyDescent="0.25">
      <c r="A307">
        <v>306</v>
      </c>
      <c r="B307">
        <f>IF('Журнал'!$E306="","",'Журнал'!$E306)</f>
      </c>
      <c r="C307">
        <f>IF('Журнал'!$B307="","",'План'!$B$6)</f>
      </c>
      <c r="D307">
        <f>IF('Журнал'!$B307="","",('Журнал'!$B307+'Журнал'!$C307)*'План'!$B$9)</f>
      </c>
      <c r="E307">
        <f>IF('Журнал'!$B307="","",'Журнал'!$B307+'Журнал'!$C307+'Журнал'!$D307)</f>
      </c>
      <c r="F307">
        <f>IF('Журнал'!$E307="","",MAX(0,'План'!$B$2-'Журнал'!$E307))</f>
      </c>
    </row>
    <row r="308" spans="1:6" x14ac:dyDescent="0.25">
      <c r="A308">
        <v>307</v>
      </c>
      <c r="B308">
        <f>IF('Журнал'!$E307="","",'Журнал'!$E307)</f>
      </c>
      <c r="C308">
        <f>IF('Журнал'!$B308="","",'План'!$B$6)</f>
      </c>
      <c r="D308">
        <f>IF('Журнал'!$B308="","",('Журнал'!$B308+'Журнал'!$C308)*'План'!$B$9)</f>
      </c>
      <c r="E308">
        <f>IF('Журнал'!$B308="","",'Журнал'!$B308+'Журнал'!$C308+'Журнал'!$D308)</f>
      </c>
      <c r="F308">
        <f>IF('Журнал'!$E308="","",MAX(0,'План'!$B$2-'Журнал'!$E308))</f>
      </c>
    </row>
    <row r="309" spans="1:6" x14ac:dyDescent="0.25">
      <c r="A309">
        <v>308</v>
      </c>
      <c r="B309">
        <f>IF('Журнал'!$E308="","",'Журнал'!$E308)</f>
      </c>
      <c r="C309">
        <f>IF('Журнал'!$B309="","",'План'!$B$6)</f>
      </c>
      <c r="D309">
        <f>IF('Журнал'!$B309="","",('Журнал'!$B309+'Журнал'!$C309)*'План'!$B$9)</f>
      </c>
      <c r="E309">
        <f>IF('Журнал'!$B309="","",'Журнал'!$B309+'Журнал'!$C309+'Журнал'!$D309)</f>
      </c>
      <c r="F309">
        <f>IF('Журнал'!$E309="","",MAX(0,'План'!$B$2-'Журнал'!$E309))</f>
      </c>
    </row>
    <row r="310" spans="1:6" x14ac:dyDescent="0.25">
      <c r="A310">
        <v>309</v>
      </c>
      <c r="B310">
        <f>IF('Журнал'!$E309="","",'Журнал'!$E309)</f>
      </c>
      <c r="C310">
        <f>IF('Журнал'!$B310="","",'План'!$B$6)</f>
      </c>
      <c r="D310">
        <f>IF('Журнал'!$B310="","",('Журнал'!$B310+'Журнал'!$C310)*'План'!$B$9)</f>
      </c>
      <c r="E310">
        <f>IF('Журнал'!$B310="","",'Журнал'!$B310+'Журнал'!$C310+'Журнал'!$D310)</f>
      </c>
      <c r="F310">
        <f>IF('Журнал'!$E310="","",MAX(0,'План'!$B$2-'Журнал'!$E310))</f>
      </c>
    </row>
    <row r="311" spans="1:6" x14ac:dyDescent="0.25">
      <c r="A311">
        <v>310</v>
      </c>
      <c r="B311">
        <f>IF('Журнал'!$E310="","",'Журнал'!$E310)</f>
      </c>
      <c r="C311">
        <f>IF('Журнал'!$B311="","",'План'!$B$6)</f>
      </c>
      <c r="D311">
        <f>IF('Журнал'!$B311="","",('Журнал'!$B311+'Журнал'!$C311)*'План'!$B$9)</f>
      </c>
      <c r="E311">
        <f>IF('Журнал'!$B311="","",'Журнал'!$B311+'Журнал'!$C311+'Журнал'!$D311)</f>
      </c>
      <c r="F311">
        <f>IF('Журнал'!$E311="","",MAX(0,'План'!$B$2-'Журнал'!$E311))</f>
      </c>
    </row>
    <row r="312" spans="1:6" x14ac:dyDescent="0.25">
      <c r="A312">
        <v>311</v>
      </c>
      <c r="B312">
        <f>IF('Журнал'!$E311="","",'Журнал'!$E311)</f>
      </c>
      <c r="C312">
        <f>IF('Журнал'!$B312="","",'План'!$B$6)</f>
      </c>
      <c r="D312">
        <f>IF('Журнал'!$B312="","",('Журнал'!$B312+'Журнал'!$C312)*'План'!$B$9)</f>
      </c>
      <c r="E312">
        <f>IF('Журнал'!$B312="","",'Журнал'!$B312+'Журнал'!$C312+'Журнал'!$D312)</f>
      </c>
      <c r="F312">
        <f>IF('Журнал'!$E312="","",MAX(0,'План'!$B$2-'Журнал'!$E312))</f>
      </c>
    </row>
    <row r="313" spans="1:6" x14ac:dyDescent="0.25">
      <c r="A313">
        <v>312</v>
      </c>
      <c r="B313">
        <f>IF('Журнал'!$E312="","",'Журнал'!$E312)</f>
      </c>
      <c r="C313">
        <f>IF('Журнал'!$B313="","",'План'!$B$6)</f>
      </c>
      <c r="D313">
        <f>IF('Журнал'!$B313="","",('Журнал'!$B313+'Журнал'!$C313)*'План'!$B$9)</f>
      </c>
      <c r="E313">
        <f>IF('Журнал'!$B313="","",'Журнал'!$B313+'Журнал'!$C313+'Журнал'!$D313)</f>
      </c>
      <c r="F313">
        <f>IF('Журнал'!$E313="","",MAX(0,'План'!$B$2-'Журнал'!$E313))</f>
      </c>
    </row>
    <row r="314" spans="1:6" x14ac:dyDescent="0.25">
      <c r="A314">
        <v>313</v>
      </c>
      <c r="B314">
        <f>IF('Журнал'!$E313="","",'Журнал'!$E313)</f>
      </c>
      <c r="C314">
        <f>IF('Журнал'!$B314="","",'План'!$B$6)</f>
      </c>
      <c r="D314">
        <f>IF('Журнал'!$B314="","",('Журнал'!$B314+'Журнал'!$C314)*'План'!$B$9)</f>
      </c>
      <c r="E314">
        <f>IF('Журнал'!$B314="","",'Журнал'!$B314+'Журнал'!$C314+'Журнал'!$D314)</f>
      </c>
      <c r="F314">
        <f>IF('Журнал'!$E314="","",MAX(0,'План'!$B$2-'Журнал'!$E314))</f>
      </c>
    </row>
    <row r="315" spans="1:6" x14ac:dyDescent="0.25">
      <c r="A315">
        <v>314</v>
      </c>
      <c r="B315">
        <f>IF('Журнал'!$E314="","",'Журнал'!$E314)</f>
      </c>
      <c r="C315">
        <f>IF('Журнал'!$B315="","",'План'!$B$6)</f>
      </c>
      <c r="D315">
        <f>IF('Журнал'!$B315="","",('Журнал'!$B315+'Журнал'!$C315)*'План'!$B$9)</f>
      </c>
      <c r="E315">
        <f>IF('Журнал'!$B315="","",'Журнал'!$B315+'Журнал'!$C315+'Журнал'!$D315)</f>
      </c>
      <c r="F315">
        <f>IF('Журнал'!$E315="","",MAX(0,'План'!$B$2-'Журнал'!$E315))</f>
      </c>
    </row>
    <row r="316" spans="1:6" x14ac:dyDescent="0.25">
      <c r="A316">
        <v>315</v>
      </c>
      <c r="B316">
        <f>IF('Журнал'!$E315="","",'Журнал'!$E315)</f>
      </c>
      <c r="C316">
        <f>IF('Журнал'!$B316="","",'План'!$B$6)</f>
      </c>
      <c r="D316">
        <f>IF('Журнал'!$B316="","",('Журнал'!$B316+'Журнал'!$C316)*'План'!$B$9)</f>
      </c>
      <c r="E316">
        <f>IF('Журнал'!$B316="","",'Журнал'!$B316+'Журнал'!$C316+'Журнал'!$D316)</f>
      </c>
      <c r="F316">
        <f>IF('Журнал'!$E316="","",MAX(0,'План'!$B$2-'Журнал'!$E316))</f>
      </c>
    </row>
    <row r="317" spans="1:6" x14ac:dyDescent="0.25">
      <c r="A317">
        <v>316</v>
      </c>
      <c r="B317">
        <f>IF('Журнал'!$E316="","",'Журнал'!$E316)</f>
      </c>
      <c r="C317">
        <f>IF('Журнал'!$B317="","",'План'!$B$6)</f>
      </c>
      <c r="D317">
        <f>IF('Журнал'!$B317="","",('Журнал'!$B317+'Журнал'!$C317)*'План'!$B$9)</f>
      </c>
      <c r="E317">
        <f>IF('Журнал'!$B317="","",'Журнал'!$B317+'Журнал'!$C317+'Журнал'!$D317)</f>
      </c>
      <c r="F317">
        <f>IF('Журнал'!$E317="","",MAX(0,'План'!$B$2-'Журнал'!$E317))</f>
      </c>
    </row>
    <row r="318" spans="1:6" x14ac:dyDescent="0.25">
      <c r="A318">
        <v>317</v>
      </c>
      <c r="B318">
        <f>IF('Журнал'!$E317="","",'Журнал'!$E317)</f>
      </c>
      <c r="C318">
        <f>IF('Журнал'!$B318="","",'План'!$B$6)</f>
      </c>
      <c r="D318">
        <f>IF('Журнал'!$B318="","",('Журнал'!$B318+'Журнал'!$C318)*'План'!$B$9)</f>
      </c>
      <c r="E318">
        <f>IF('Журнал'!$B318="","",'Журнал'!$B318+'Журнал'!$C318+'Журнал'!$D318)</f>
      </c>
      <c r="F318">
        <f>IF('Журнал'!$E318="","",MAX(0,'План'!$B$2-'Журнал'!$E318))</f>
      </c>
    </row>
    <row r="319" spans="1:6" x14ac:dyDescent="0.25">
      <c r="A319">
        <v>318</v>
      </c>
      <c r="B319">
        <f>IF('Журнал'!$E318="","",'Журнал'!$E318)</f>
      </c>
      <c r="C319">
        <f>IF('Журнал'!$B319="","",'План'!$B$6)</f>
      </c>
      <c r="D319">
        <f>IF('Журнал'!$B319="","",('Журнал'!$B319+'Журнал'!$C319)*'План'!$B$9)</f>
      </c>
      <c r="E319">
        <f>IF('Журнал'!$B319="","",'Журнал'!$B319+'Журнал'!$C319+'Журнал'!$D319)</f>
      </c>
      <c r="F319">
        <f>IF('Журнал'!$E319="","",MAX(0,'План'!$B$2-'Журнал'!$E319))</f>
      </c>
    </row>
    <row r="320" spans="1:6" x14ac:dyDescent="0.25">
      <c r="A320">
        <v>319</v>
      </c>
      <c r="B320">
        <f>IF('Журнал'!$E319="","",'Журнал'!$E319)</f>
      </c>
      <c r="C320">
        <f>IF('Журнал'!$B320="","",'План'!$B$6)</f>
      </c>
      <c r="D320">
        <f>IF('Журнал'!$B320="","",('Журнал'!$B320+'Журнал'!$C320)*'План'!$B$9)</f>
      </c>
      <c r="E320">
        <f>IF('Журнал'!$B320="","",'Журнал'!$B320+'Журнал'!$C320+'Журнал'!$D320)</f>
      </c>
      <c r="F320">
        <f>IF('Журнал'!$E320="","",MAX(0,'План'!$B$2-'Журнал'!$E320))</f>
      </c>
    </row>
    <row r="321" spans="1:6" x14ac:dyDescent="0.25">
      <c r="A321">
        <v>320</v>
      </c>
      <c r="B321">
        <f>IF('Журнал'!$E320="","",'Журнал'!$E320)</f>
      </c>
      <c r="C321">
        <f>IF('Журнал'!$B321="","",'План'!$B$6)</f>
      </c>
      <c r="D321">
        <f>IF('Журнал'!$B321="","",('Журнал'!$B321+'Журнал'!$C321)*'План'!$B$9)</f>
      </c>
      <c r="E321">
        <f>IF('Журнал'!$B321="","",'Журнал'!$B321+'Журнал'!$C321+'Журнал'!$D321)</f>
      </c>
      <c r="F321">
        <f>IF('Журнал'!$E321="","",MAX(0,'План'!$B$2-'Журнал'!$E321))</f>
      </c>
    </row>
    <row r="322" spans="1:6" x14ac:dyDescent="0.25">
      <c r="A322">
        <v>321</v>
      </c>
      <c r="B322">
        <f>IF('Журнал'!$E321="","",'Журнал'!$E321)</f>
      </c>
      <c r="C322">
        <f>IF('Журнал'!$B322="","",'План'!$B$6)</f>
      </c>
      <c r="D322">
        <f>IF('Журнал'!$B322="","",('Журнал'!$B322+'Журнал'!$C322)*'План'!$B$9)</f>
      </c>
      <c r="E322">
        <f>IF('Журнал'!$B322="","",'Журнал'!$B322+'Журнал'!$C322+'Журнал'!$D322)</f>
      </c>
      <c r="F322">
        <f>IF('Журнал'!$E322="","",MAX(0,'План'!$B$2-'Журнал'!$E322))</f>
      </c>
    </row>
    <row r="323" spans="1:6" x14ac:dyDescent="0.25">
      <c r="A323">
        <v>322</v>
      </c>
      <c r="B323">
        <f>IF('Журнал'!$E322="","",'Журнал'!$E322)</f>
      </c>
      <c r="C323">
        <f>IF('Журнал'!$B323="","",'План'!$B$6)</f>
      </c>
      <c r="D323">
        <f>IF('Журнал'!$B323="","",('Журнал'!$B323+'Журнал'!$C323)*'План'!$B$9)</f>
      </c>
      <c r="E323">
        <f>IF('Журнал'!$B323="","",'Журнал'!$B323+'Журнал'!$C323+'Журнал'!$D323)</f>
      </c>
      <c r="F323">
        <f>IF('Журнал'!$E323="","",MAX(0,'План'!$B$2-'Журнал'!$E323))</f>
      </c>
    </row>
    <row r="324" spans="1:6" x14ac:dyDescent="0.25">
      <c r="A324">
        <v>323</v>
      </c>
      <c r="B324">
        <f>IF('Журнал'!$E323="","",'Журнал'!$E323)</f>
      </c>
      <c r="C324">
        <f>IF('Журнал'!$B324="","",'План'!$B$6)</f>
      </c>
      <c r="D324">
        <f>IF('Журнал'!$B324="","",('Журнал'!$B324+'Журнал'!$C324)*'План'!$B$9)</f>
      </c>
      <c r="E324">
        <f>IF('Журнал'!$B324="","",'Журнал'!$B324+'Журнал'!$C324+'Журнал'!$D324)</f>
      </c>
      <c r="F324">
        <f>IF('Журнал'!$E324="","",MAX(0,'План'!$B$2-'Журнал'!$E324))</f>
      </c>
    </row>
    <row r="325" spans="1:6" x14ac:dyDescent="0.25">
      <c r="A325">
        <v>324</v>
      </c>
      <c r="B325">
        <f>IF('Журнал'!$E324="","",'Журнал'!$E324)</f>
      </c>
      <c r="C325">
        <f>IF('Журнал'!$B325="","",'План'!$B$6)</f>
      </c>
      <c r="D325">
        <f>IF('Журнал'!$B325="","",('Журнал'!$B325+'Журнал'!$C325)*'План'!$B$9)</f>
      </c>
      <c r="E325">
        <f>IF('Журнал'!$B325="","",'Журнал'!$B325+'Журнал'!$C325+'Журнал'!$D325)</f>
      </c>
      <c r="F325">
        <f>IF('Журнал'!$E325="","",MAX(0,'План'!$B$2-'Журнал'!$E325))</f>
      </c>
    </row>
    <row r="326" spans="1:6" x14ac:dyDescent="0.25">
      <c r="A326">
        <v>325</v>
      </c>
      <c r="B326">
        <f>IF('Журнал'!$E325="","",'Журнал'!$E325)</f>
      </c>
      <c r="C326">
        <f>IF('Журнал'!$B326="","",'План'!$B$6)</f>
      </c>
      <c r="D326">
        <f>IF('Журнал'!$B326="","",('Журнал'!$B326+'Журнал'!$C326)*'План'!$B$9)</f>
      </c>
      <c r="E326">
        <f>IF('Журнал'!$B326="","",'Журнал'!$B326+'Журнал'!$C326+'Журнал'!$D326)</f>
      </c>
      <c r="F326">
        <f>IF('Журнал'!$E326="","",MAX(0,'План'!$B$2-'Журнал'!$E326))</f>
      </c>
    </row>
    <row r="327" spans="1:6" x14ac:dyDescent="0.25">
      <c r="A327">
        <v>326</v>
      </c>
      <c r="B327">
        <f>IF('Журнал'!$E326="","",'Журнал'!$E326)</f>
      </c>
      <c r="C327">
        <f>IF('Журнал'!$B327="","",'План'!$B$6)</f>
      </c>
      <c r="D327">
        <f>IF('Журнал'!$B327="","",('Журнал'!$B327+'Журнал'!$C327)*'План'!$B$9)</f>
      </c>
      <c r="E327">
        <f>IF('Журнал'!$B327="","",'Журнал'!$B327+'Журнал'!$C327+'Журнал'!$D327)</f>
      </c>
      <c r="F327">
        <f>IF('Журнал'!$E327="","",MAX(0,'План'!$B$2-'Журнал'!$E327))</f>
      </c>
    </row>
    <row r="328" spans="1:6" x14ac:dyDescent="0.25">
      <c r="A328">
        <v>327</v>
      </c>
      <c r="B328">
        <f>IF('Журнал'!$E327="","",'Журнал'!$E327)</f>
      </c>
      <c r="C328">
        <f>IF('Журнал'!$B328="","",'План'!$B$6)</f>
      </c>
      <c r="D328">
        <f>IF('Журнал'!$B328="","",('Журнал'!$B328+'Журнал'!$C328)*'План'!$B$9)</f>
      </c>
      <c r="E328">
        <f>IF('Журнал'!$B328="","",'Журнал'!$B328+'Журнал'!$C328+'Журнал'!$D328)</f>
      </c>
      <c r="F328">
        <f>IF('Журнал'!$E328="","",MAX(0,'План'!$B$2-'Журнал'!$E328))</f>
      </c>
    </row>
    <row r="329" spans="1:6" x14ac:dyDescent="0.25">
      <c r="A329">
        <v>328</v>
      </c>
      <c r="B329">
        <f>IF('Журнал'!$E328="","",'Журнал'!$E328)</f>
      </c>
      <c r="C329">
        <f>IF('Журнал'!$B329="","",'План'!$B$6)</f>
      </c>
      <c r="D329">
        <f>IF('Журнал'!$B329="","",('Журнал'!$B329+'Журнал'!$C329)*'План'!$B$9)</f>
      </c>
      <c r="E329">
        <f>IF('Журнал'!$B329="","",'Журнал'!$B329+'Журнал'!$C329+'Журнал'!$D329)</f>
      </c>
      <c r="F329">
        <f>IF('Журнал'!$E329="","",MAX(0,'План'!$B$2-'Журнал'!$E329))</f>
      </c>
    </row>
    <row r="330" spans="1:6" x14ac:dyDescent="0.25">
      <c r="A330">
        <v>329</v>
      </c>
      <c r="B330">
        <f>IF('Журнал'!$E329="","",'Журнал'!$E329)</f>
      </c>
      <c r="C330">
        <f>IF('Журнал'!$B330="","",'План'!$B$6)</f>
      </c>
      <c r="D330">
        <f>IF('Журнал'!$B330="","",('Журнал'!$B330+'Журнал'!$C330)*'План'!$B$9)</f>
      </c>
      <c r="E330">
        <f>IF('Журнал'!$B330="","",'Журнал'!$B330+'Журнал'!$C330+'Журнал'!$D330)</f>
      </c>
      <c r="F330">
        <f>IF('Журнал'!$E330="","",MAX(0,'План'!$B$2-'Журнал'!$E330))</f>
      </c>
    </row>
    <row r="331" spans="1:6" x14ac:dyDescent="0.25">
      <c r="A331">
        <v>330</v>
      </c>
      <c r="B331">
        <f>IF('Журнал'!$E330="","",'Журнал'!$E330)</f>
      </c>
      <c r="C331">
        <f>IF('Журнал'!$B331="","",'План'!$B$6)</f>
      </c>
      <c r="D331">
        <f>IF('Журнал'!$B331="","",('Журнал'!$B331+'Журнал'!$C331)*'План'!$B$9)</f>
      </c>
      <c r="E331">
        <f>IF('Журнал'!$B331="","",'Журнал'!$B331+'Журнал'!$C331+'Журнал'!$D331)</f>
      </c>
      <c r="F331">
        <f>IF('Журнал'!$E331="","",MAX(0,'План'!$B$2-'Журнал'!$E331))</f>
      </c>
    </row>
    <row r="332" spans="1:6" x14ac:dyDescent="0.25">
      <c r="A332">
        <v>331</v>
      </c>
      <c r="B332">
        <f>IF('Журнал'!$E331="","",'Журнал'!$E331)</f>
      </c>
      <c r="C332">
        <f>IF('Журнал'!$B332="","",'План'!$B$6)</f>
      </c>
      <c r="D332">
        <f>IF('Журнал'!$B332="","",('Журнал'!$B332+'Журнал'!$C332)*'План'!$B$9)</f>
      </c>
      <c r="E332">
        <f>IF('Журнал'!$B332="","",'Журнал'!$B332+'Журнал'!$C332+'Журнал'!$D332)</f>
      </c>
      <c r="F332">
        <f>IF('Журнал'!$E332="","",MAX(0,'План'!$B$2-'Журнал'!$E332))</f>
      </c>
    </row>
    <row r="333" spans="1:6" x14ac:dyDescent="0.25">
      <c r="A333">
        <v>332</v>
      </c>
      <c r="B333">
        <f>IF('Журнал'!$E332="","",'Журнал'!$E332)</f>
      </c>
      <c r="C333">
        <f>IF('Журнал'!$B333="","",'План'!$B$6)</f>
      </c>
      <c r="D333">
        <f>IF('Журнал'!$B333="","",('Журнал'!$B333+'Журнал'!$C333)*'План'!$B$9)</f>
      </c>
      <c r="E333">
        <f>IF('Журнал'!$B333="","",'Журнал'!$B333+'Журнал'!$C333+'Журнал'!$D333)</f>
      </c>
      <c r="F333">
        <f>IF('Журнал'!$E333="","",MAX(0,'План'!$B$2-'Журнал'!$E333))</f>
      </c>
    </row>
    <row r="334" spans="1:6" x14ac:dyDescent="0.25">
      <c r="A334">
        <v>333</v>
      </c>
      <c r="B334">
        <f>IF('Журнал'!$E333="","",'Журнал'!$E333)</f>
      </c>
      <c r="C334">
        <f>IF('Журнал'!$B334="","",'План'!$B$6)</f>
      </c>
      <c r="D334">
        <f>IF('Журнал'!$B334="","",('Журнал'!$B334+'Журнал'!$C334)*'План'!$B$9)</f>
      </c>
      <c r="E334">
        <f>IF('Журнал'!$B334="","",'Журнал'!$B334+'Журнал'!$C334+'Журнал'!$D334)</f>
      </c>
      <c r="F334">
        <f>IF('Журнал'!$E334="","",MAX(0,'План'!$B$2-'Журнал'!$E334))</f>
      </c>
    </row>
    <row r="335" spans="1:6" x14ac:dyDescent="0.25">
      <c r="A335">
        <v>334</v>
      </c>
      <c r="B335">
        <f>IF('Журнал'!$E334="","",'Журнал'!$E334)</f>
      </c>
      <c r="C335">
        <f>IF('Журнал'!$B335="","",'План'!$B$6)</f>
      </c>
      <c r="D335">
        <f>IF('Журнал'!$B335="","",('Журнал'!$B335+'Журнал'!$C335)*'План'!$B$9)</f>
      </c>
      <c r="E335">
        <f>IF('Журнал'!$B335="","",'Журнал'!$B335+'Журнал'!$C335+'Журнал'!$D335)</f>
      </c>
      <c r="F335">
        <f>IF('Журнал'!$E335="","",MAX(0,'План'!$B$2-'Журнал'!$E335))</f>
      </c>
    </row>
    <row r="336" spans="1:6" x14ac:dyDescent="0.25">
      <c r="A336">
        <v>335</v>
      </c>
      <c r="B336">
        <f>IF('Журнал'!$E335="","",'Журнал'!$E335)</f>
      </c>
      <c r="C336">
        <f>IF('Журнал'!$B336="","",'План'!$B$6)</f>
      </c>
      <c r="D336">
        <f>IF('Журнал'!$B336="","",('Журнал'!$B336+'Журнал'!$C336)*'План'!$B$9)</f>
      </c>
      <c r="E336">
        <f>IF('Журнал'!$B336="","",'Журнал'!$B336+'Журнал'!$C336+'Журнал'!$D336)</f>
      </c>
      <c r="F336">
        <f>IF('Журнал'!$E336="","",MAX(0,'План'!$B$2-'Журнал'!$E336))</f>
      </c>
    </row>
    <row r="337" spans="1:6" x14ac:dyDescent="0.25">
      <c r="A337">
        <v>336</v>
      </c>
      <c r="B337">
        <f>IF('Журнал'!$E336="","",'Журнал'!$E336)</f>
      </c>
      <c r="C337">
        <f>IF('Журнал'!$B337="","",'План'!$B$6)</f>
      </c>
      <c r="D337">
        <f>IF('Журнал'!$B337="","",('Журнал'!$B337+'Журнал'!$C337)*'План'!$B$9)</f>
      </c>
      <c r="E337">
        <f>IF('Журнал'!$B337="","",'Журнал'!$B337+'Журнал'!$C337+'Журнал'!$D337)</f>
      </c>
      <c r="F337">
        <f>IF('Журнал'!$E337="","",MAX(0,'План'!$B$2-'Журнал'!$E337))</f>
      </c>
    </row>
    <row r="338" spans="1:6" x14ac:dyDescent="0.25">
      <c r="A338">
        <v>337</v>
      </c>
      <c r="B338">
        <f>IF('Журнал'!$E337="","",'Журнал'!$E337)</f>
      </c>
      <c r="C338">
        <f>IF('Журнал'!$B338="","",'План'!$B$6)</f>
      </c>
      <c r="D338">
        <f>IF('Журнал'!$B338="","",('Журнал'!$B338+'Журнал'!$C338)*'План'!$B$9)</f>
      </c>
      <c r="E338">
        <f>IF('Журнал'!$B338="","",'Журнал'!$B338+'Журнал'!$C338+'Журнал'!$D338)</f>
      </c>
      <c r="F338">
        <f>IF('Журнал'!$E338="","",MAX(0,'План'!$B$2-'Журнал'!$E338))</f>
      </c>
    </row>
    <row r="339" spans="1:6" x14ac:dyDescent="0.25">
      <c r="A339">
        <v>338</v>
      </c>
      <c r="B339">
        <f>IF('Журнал'!$E338="","",'Журнал'!$E338)</f>
      </c>
      <c r="C339">
        <f>IF('Журнал'!$B339="","",'План'!$B$6)</f>
      </c>
      <c r="D339">
        <f>IF('Журнал'!$B339="","",('Журнал'!$B339+'Журнал'!$C339)*'План'!$B$9)</f>
      </c>
      <c r="E339">
        <f>IF('Журнал'!$B339="","",'Журнал'!$B339+'Журнал'!$C339+'Журнал'!$D339)</f>
      </c>
      <c r="F339">
        <f>IF('Журнал'!$E339="","",MAX(0,'План'!$B$2-'Журнал'!$E339))</f>
      </c>
    </row>
    <row r="340" spans="1:6" x14ac:dyDescent="0.25">
      <c r="A340">
        <v>339</v>
      </c>
      <c r="B340">
        <f>IF('Журнал'!$E339="","",'Журнал'!$E339)</f>
      </c>
      <c r="C340">
        <f>IF('Журнал'!$B340="","",'План'!$B$6)</f>
      </c>
      <c r="D340">
        <f>IF('Журнал'!$B340="","",('Журнал'!$B340+'Журнал'!$C340)*'План'!$B$9)</f>
      </c>
      <c r="E340">
        <f>IF('Журнал'!$B340="","",'Журнал'!$B340+'Журнал'!$C340+'Журнал'!$D340)</f>
      </c>
      <c r="F340">
        <f>IF('Журнал'!$E340="","",MAX(0,'План'!$B$2-'Журнал'!$E340))</f>
      </c>
    </row>
    <row r="341" spans="1:6" x14ac:dyDescent="0.25">
      <c r="A341">
        <v>340</v>
      </c>
      <c r="B341">
        <f>IF('Журнал'!$E340="","",'Журнал'!$E340)</f>
      </c>
      <c r="C341">
        <f>IF('Журнал'!$B341="","",'План'!$B$6)</f>
      </c>
      <c r="D341">
        <f>IF('Журнал'!$B341="","",('Журнал'!$B341+'Журнал'!$C341)*'План'!$B$9)</f>
      </c>
      <c r="E341">
        <f>IF('Журнал'!$B341="","",'Журнал'!$B341+'Журнал'!$C341+'Журнал'!$D341)</f>
      </c>
      <c r="F341">
        <f>IF('Журнал'!$E341="","",MAX(0,'План'!$B$2-'Журнал'!$E341))</f>
      </c>
    </row>
    <row r="342" spans="1:6" x14ac:dyDescent="0.25">
      <c r="A342">
        <v>341</v>
      </c>
      <c r="B342">
        <f>IF('Журнал'!$E341="","",'Журнал'!$E341)</f>
      </c>
      <c r="C342">
        <f>IF('Журнал'!$B342="","",'План'!$B$6)</f>
      </c>
      <c r="D342">
        <f>IF('Журнал'!$B342="","",('Журнал'!$B342+'Журнал'!$C342)*'План'!$B$9)</f>
      </c>
      <c r="E342">
        <f>IF('Журнал'!$B342="","",'Журнал'!$B342+'Журнал'!$C342+'Журнал'!$D342)</f>
      </c>
      <c r="F342">
        <f>IF('Журнал'!$E342="","",MAX(0,'План'!$B$2-'Журнал'!$E342))</f>
      </c>
    </row>
    <row r="343" spans="1:6" x14ac:dyDescent="0.25">
      <c r="A343">
        <v>342</v>
      </c>
      <c r="B343">
        <f>IF('Журнал'!$E342="","",'Журнал'!$E342)</f>
      </c>
      <c r="C343">
        <f>IF('Журнал'!$B343="","",'План'!$B$6)</f>
      </c>
      <c r="D343">
        <f>IF('Журнал'!$B343="","",('Журнал'!$B343+'Журнал'!$C343)*'План'!$B$9)</f>
      </c>
      <c r="E343">
        <f>IF('Журнал'!$B343="","",'Журнал'!$B343+'Журнал'!$C343+'Журнал'!$D343)</f>
      </c>
      <c r="F343">
        <f>IF('Журнал'!$E343="","",MAX(0,'План'!$B$2-'Журнал'!$E343))</f>
      </c>
    </row>
    <row r="344" spans="1:6" x14ac:dyDescent="0.25">
      <c r="A344">
        <v>343</v>
      </c>
      <c r="B344">
        <f>IF('Журнал'!$E343="","",'Журнал'!$E343)</f>
      </c>
      <c r="C344">
        <f>IF('Журнал'!$B344="","",'План'!$B$6)</f>
      </c>
      <c r="D344">
        <f>IF('Журнал'!$B344="","",('Журнал'!$B344+'Журнал'!$C344)*'План'!$B$9)</f>
      </c>
      <c r="E344">
        <f>IF('Журнал'!$B344="","",'Журнал'!$B344+'Журнал'!$C344+'Журнал'!$D344)</f>
      </c>
      <c r="F344">
        <f>IF('Журнал'!$E344="","",MAX(0,'План'!$B$2-'Журнал'!$E344))</f>
      </c>
    </row>
    <row r="345" spans="1:6" x14ac:dyDescent="0.25">
      <c r="A345">
        <v>344</v>
      </c>
      <c r="B345">
        <f>IF('Журнал'!$E344="","",'Журнал'!$E344)</f>
      </c>
      <c r="C345">
        <f>IF('Журнал'!$B345="","",'План'!$B$6)</f>
      </c>
      <c r="D345">
        <f>IF('Журнал'!$B345="","",('Журнал'!$B345+'Журнал'!$C345)*'План'!$B$9)</f>
      </c>
      <c r="E345">
        <f>IF('Журнал'!$B345="","",'Журнал'!$B345+'Журнал'!$C345+'Журнал'!$D345)</f>
      </c>
      <c r="F345">
        <f>IF('Журнал'!$E345="","",MAX(0,'План'!$B$2-'Журнал'!$E345))</f>
      </c>
    </row>
    <row r="346" spans="1:6" x14ac:dyDescent="0.25">
      <c r="A346">
        <v>345</v>
      </c>
      <c r="B346">
        <f>IF('Журнал'!$E345="","",'Журнал'!$E345)</f>
      </c>
      <c r="C346">
        <f>IF('Журнал'!$B346="","",'План'!$B$6)</f>
      </c>
      <c r="D346">
        <f>IF('Журнал'!$B346="","",('Журнал'!$B346+'Журнал'!$C346)*'План'!$B$9)</f>
      </c>
      <c r="E346">
        <f>IF('Журнал'!$B346="","",'Журнал'!$B346+'Журнал'!$C346+'Журнал'!$D346)</f>
      </c>
      <c r="F346">
        <f>IF('Журнал'!$E346="","",MAX(0,'План'!$B$2-'Журнал'!$E346))</f>
      </c>
    </row>
    <row r="347" spans="1:6" x14ac:dyDescent="0.25">
      <c r="A347">
        <v>346</v>
      </c>
      <c r="B347">
        <f>IF('Журнал'!$E346="","",'Журнал'!$E346)</f>
      </c>
      <c r="C347">
        <f>IF('Журнал'!$B347="","",'План'!$B$6)</f>
      </c>
      <c r="D347">
        <f>IF('Журнал'!$B347="","",('Журнал'!$B347+'Журнал'!$C347)*'План'!$B$9)</f>
      </c>
      <c r="E347">
        <f>IF('Журнал'!$B347="","",'Журнал'!$B347+'Журнал'!$C347+'Журнал'!$D347)</f>
      </c>
      <c r="F347">
        <f>IF('Журнал'!$E347="","",MAX(0,'План'!$B$2-'Журнал'!$E347))</f>
      </c>
    </row>
    <row r="348" spans="1:6" x14ac:dyDescent="0.25">
      <c r="A348">
        <v>347</v>
      </c>
      <c r="B348">
        <f>IF('Журнал'!$E347="","",'Журнал'!$E347)</f>
      </c>
      <c r="C348">
        <f>IF('Журнал'!$B348="","",'План'!$B$6)</f>
      </c>
      <c r="D348">
        <f>IF('Журнал'!$B348="","",('Журнал'!$B348+'Журнал'!$C348)*'План'!$B$9)</f>
      </c>
      <c r="E348">
        <f>IF('Журнал'!$B348="","",'Журнал'!$B348+'Журнал'!$C348+'Журнал'!$D348)</f>
      </c>
      <c r="F348">
        <f>IF('Журнал'!$E348="","",MAX(0,'План'!$B$2-'Журнал'!$E348))</f>
      </c>
    </row>
    <row r="349" spans="1:6" x14ac:dyDescent="0.25">
      <c r="A349">
        <v>348</v>
      </c>
      <c r="B349">
        <f>IF('Журнал'!$E348="","",'Журнал'!$E348)</f>
      </c>
      <c r="C349">
        <f>IF('Журнал'!$B349="","",'План'!$B$6)</f>
      </c>
      <c r="D349">
        <f>IF('Журнал'!$B349="","",('Журнал'!$B349+'Журнал'!$C349)*'План'!$B$9)</f>
      </c>
      <c r="E349">
        <f>IF('Журнал'!$B349="","",'Журнал'!$B349+'Журнал'!$C349+'Журнал'!$D349)</f>
      </c>
      <c r="F349">
        <f>IF('Журнал'!$E349="","",MAX(0,'План'!$B$2-'Журнал'!$E349))</f>
      </c>
    </row>
    <row r="350" spans="1:6" x14ac:dyDescent="0.25">
      <c r="A350">
        <v>349</v>
      </c>
      <c r="B350">
        <f>IF('Журнал'!$E349="","",'Журнал'!$E349)</f>
      </c>
      <c r="C350">
        <f>IF('Журнал'!$B350="","",'План'!$B$6)</f>
      </c>
      <c r="D350">
        <f>IF('Журнал'!$B350="","",('Журнал'!$B350+'Журнал'!$C350)*'План'!$B$9)</f>
      </c>
      <c r="E350">
        <f>IF('Журнал'!$B350="","",'Журнал'!$B350+'Журнал'!$C350+'Журнал'!$D350)</f>
      </c>
      <c r="F350">
        <f>IF('Журнал'!$E350="","",MAX(0,'План'!$B$2-'Журнал'!$E350))</f>
      </c>
    </row>
    <row r="351" spans="1:6" x14ac:dyDescent="0.25">
      <c r="A351">
        <v>350</v>
      </c>
      <c r="B351">
        <f>IF('Журнал'!$E350="","",'Журнал'!$E350)</f>
      </c>
      <c r="C351">
        <f>IF('Журнал'!$B351="","",'План'!$B$6)</f>
      </c>
      <c r="D351">
        <f>IF('Журнал'!$B351="","",('Журнал'!$B351+'Журнал'!$C351)*'План'!$B$9)</f>
      </c>
      <c r="E351">
        <f>IF('Журнал'!$B351="","",'Журнал'!$B351+'Журнал'!$C351+'Журнал'!$D351)</f>
      </c>
      <c r="F351">
        <f>IF('Журнал'!$E351="","",MAX(0,'План'!$B$2-'Журнал'!$E351))</f>
      </c>
    </row>
    <row r="352" spans="1:6" x14ac:dyDescent="0.25">
      <c r="A352">
        <v>351</v>
      </c>
      <c r="B352">
        <f>IF('Журнал'!$E351="","",'Журнал'!$E351)</f>
      </c>
      <c r="C352">
        <f>IF('Журнал'!$B352="","",'План'!$B$6)</f>
      </c>
      <c r="D352">
        <f>IF('Журнал'!$B352="","",('Журнал'!$B352+'Журнал'!$C352)*'План'!$B$9)</f>
      </c>
      <c r="E352">
        <f>IF('Журнал'!$B352="","",'Журнал'!$B352+'Журнал'!$C352+'Журнал'!$D352)</f>
      </c>
      <c r="F352">
        <f>IF('Журнал'!$E352="","",MAX(0,'План'!$B$2-'Журнал'!$E352))</f>
      </c>
    </row>
    <row r="353" spans="1:6" x14ac:dyDescent="0.25">
      <c r="A353">
        <v>352</v>
      </c>
      <c r="B353">
        <f>IF('Журнал'!$E352="","",'Журнал'!$E352)</f>
      </c>
      <c r="C353">
        <f>IF('Журнал'!$B353="","",'План'!$B$6)</f>
      </c>
      <c r="D353">
        <f>IF('Журнал'!$B353="","",('Журнал'!$B353+'Журнал'!$C353)*'План'!$B$9)</f>
      </c>
      <c r="E353">
        <f>IF('Журнал'!$B353="","",'Журнал'!$B353+'Журнал'!$C353+'Журнал'!$D353)</f>
      </c>
      <c r="F353">
        <f>IF('Журнал'!$E353="","",MAX(0,'План'!$B$2-'Журнал'!$E353))</f>
      </c>
    </row>
    <row r="354" spans="1:6" x14ac:dyDescent="0.25">
      <c r="A354">
        <v>353</v>
      </c>
      <c r="B354">
        <f>IF('Журнал'!$E353="","",'Журнал'!$E353)</f>
      </c>
      <c r="C354">
        <f>IF('Журнал'!$B354="","",'План'!$B$6)</f>
      </c>
      <c r="D354">
        <f>IF('Журнал'!$B354="","",('Журнал'!$B354+'Журнал'!$C354)*'План'!$B$9)</f>
      </c>
      <c r="E354">
        <f>IF('Журнал'!$B354="","",'Журнал'!$B354+'Журнал'!$C354+'Журнал'!$D354)</f>
      </c>
      <c r="F354">
        <f>IF('Журнал'!$E354="","",MAX(0,'План'!$B$2-'Журнал'!$E354))</f>
      </c>
    </row>
    <row r="355" spans="1:6" x14ac:dyDescent="0.25">
      <c r="A355">
        <v>354</v>
      </c>
      <c r="B355">
        <f>IF('Журнал'!$E354="","",'Журнал'!$E354)</f>
      </c>
      <c r="C355">
        <f>IF('Журнал'!$B355="","",'План'!$B$6)</f>
      </c>
      <c r="D355">
        <f>IF('Журнал'!$B355="","",('Журнал'!$B355+'Журнал'!$C355)*'План'!$B$9)</f>
      </c>
      <c r="E355">
        <f>IF('Журнал'!$B355="","",'Журнал'!$B355+'Журнал'!$C355+'Журнал'!$D355)</f>
      </c>
      <c r="F355">
        <f>IF('Журнал'!$E355="","",MAX(0,'План'!$B$2-'Журнал'!$E355))</f>
      </c>
    </row>
    <row r="356" spans="1:6" x14ac:dyDescent="0.25">
      <c r="A356">
        <v>355</v>
      </c>
      <c r="B356">
        <f>IF('Журнал'!$E355="","",'Журнал'!$E355)</f>
      </c>
      <c r="C356">
        <f>IF('Журнал'!$B356="","",'План'!$B$6)</f>
      </c>
      <c r="D356">
        <f>IF('Журнал'!$B356="","",('Журнал'!$B356+'Журнал'!$C356)*'План'!$B$9)</f>
      </c>
      <c r="E356">
        <f>IF('Журнал'!$B356="","",'Журнал'!$B356+'Журнал'!$C356+'Журнал'!$D356)</f>
      </c>
      <c r="F356">
        <f>IF('Журнал'!$E356="","",MAX(0,'План'!$B$2-'Журнал'!$E356))</f>
      </c>
    </row>
    <row r="357" spans="1:6" x14ac:dyDescent="0.25">
      <c r="A357">
        <v>356</v>
      </c>
      <c r="B357">
        <f>IF('Журнал'!$E356="","",'Журнал'!$E356)</f>
      </c>
      <c r="C357">
        <f>IF('Журнал'!$B357="","",'План'!$B$6)</f>
      </c>
      <c r="D357">
        <f>IF('Журнал'!$B357="","",('Журнал'!$B357+'Журнал'!$C357)*'План'!$B$9)</f>
      </c>
      <c r="E357">
        <f>IF('Журнал'!$B357="","",'Журнал'!$B357+'Журнал'!$C357+'Журнал'!$D357)</f>
      </c>
      <c r="F357">
        <f>IF('Журнал'!$E357="","",MAX(0,'План'!$B$2-'Журнал'!$E357))</f>
      </c>
    </row>
    <row r="358" spans="1:6" x14ac:dyDescent="0.25">
      <c r="A358">
        <v>357</v>
      </c>
      <c r="B358">
        <f>IF('Журнал'!$E357="","",'Журнал'!$E357)</f>
      </c>
      <c r="C358">
        <f>IF('Журнал'!$B358="","",'План'!$B$6)</f>
      </c>
      <c r="D358">
        <f>IF('Журнал'!$B358="","",('Журнал'!$B358+'Журнал'!$C358)*'План'!$B$9)</f>
      </c>
      <c r="E358">
        <f>IF('Журнал'!$B358="","",'Журнал'!$B358+'Журнал'!$C358+'Журнал'!$D358)</f>
      </c>
      <c r="F358">
        <f>IF('Журнал'!$E358="","",MAX(0,'План'!$B$2-'Журнал'!$E358))</f>
      </c>
    </row>
    <row r="359" spans="1:6" x14ac:dyDescent="0.25">
      <c r="A359">
        <v>358</v>
      </c>
      <c r="B359">
        <f>IF('Журнал'!$E358="","",'Журнал'!$E358)</f>
      </c>
      <c r="C359">
        <f>IF('Журнал'!$B359="","",'План'!$B$6)</f>
      </c>
      <c r="D359">
        <f>IF('Журнал'!$B359="","",('Журнал'!$B359+'Журнал'!$C359)*'План'!$B$9)</f>
      </c>
      <c r="E359">
        <f>IF('Журнал'!$B359="","",'Журнал'!$B359+'Журнал'!$C359+'Журнал'!$D359)</f>
      </c>
      <c r="F359">
        <f>IF('Журнал'!$E359="","",MAX(0,'План'!$B$2-'Журнал'!$E359))</f>
      </c>
    </row>
    <row r="360" spans="1:6" x14ac:dyDescent="0.25">
      <c r="A360">
        <v>359</v>
      </c>
      <c r="B360">
        <f>IF('Журнал'!$E359="","",'Журнал'!$E359)</f>
      </c>
      <c r="C360">
        <f>IF('Журнал'!$B360="","",'План'!$B$6)</f>
      </c>
      <c r="D360">
        <f>IF('Журнал'!$B360="","",('Журнал'!$B360+'Журнал'!$C360)*'План'!$B$9)</f>
      </c>
      <c r="E360">
        <f>IF('Журнал'!$B360="","",'Журнал'!$B360+'Журнал'!$C360+'Журнал'!$D360)</f>
      </c>
      <c r="F360">
        <f>IF('Журнал'!$E360="","",MAX(0,'План'!$B$2-'Журнал'!$E360))</f>
      </c>
    </row>
    <row r="361" spans="1:6" x14ac:dyDescent="0.25">
      <c r="A361">
        <v>360</v>
      </c>
      <c r="B361">
        <f>IF('Журнал'!$E360="","",'Журнал'!$E360)</f>
      </c>
      <c r="C361">
        <f>IF('Журнал'!$B361="","",'План'!$B$6)</f>
      </c>
      <c r="D361">
        <f>IF('Журнал'!$B361="","",('Журнал'!$B361+'Журнал'!$C361)*'План'!$B$9)</f>
      </c>
      <c r="E361">
        <f>IF('Журнал'!$B361="","",'Журнал'!$B361+'Журнал'!$C361+'Журнал'!$D361)</f>
      </c>
      <c r="F361">
        <f>IF('Журнал'!$E361="","",MAX(0,'План'!$B$2-'Журнал'!$E361))</f>
      </c>
    </row>
    <row r="362" spans="1:6" x14ac:dyDescent="0.25">
      <c r="A362">
        <v>361</v>
      </c>
      <c r="B362">
        <f>IF('Журнал'!$E361="","",'Журнал'!$E361)</f>
      </c>
      <c r="C362">
        <f>IF('Журнал'!$B362="","",'План'!$B$6)</f>
      </c>
      <c r="D362">
        <f>IF('Журнал'!$B362="","",('Журнал'!$B362+'Журнал'!$C362)*'План'!$B$9)</f>
      </c>
      <c r="E362">
        <f>IF('Журнал'!$B362="","",'Журнал'!$B362+'Журнал'!$C362+'Журнал'!$D362)</f>
      </c>
      <c r="F362">
        <f>IF('Журнал'!$E362="","",MAX(0,'План'!$B$2-'Журнал'!$E362))</f>
      </c>
    </row>
    <row r="363" spans="1:6" x14ac:dyDescent="0.25">
      <c r="A363">
        <v>362</v>
      </c>
      <c r="B363">
        <f>IF('Журнал'!$E362="","",'Журнал'!$E362)</f>
      </c>
      <c r="C363">
        <f>IF('Журнал'!$B363="","",'План'!$B$6)</f>
      </c>
      <c r="D363">
        <f>IF('Журнал'!$B363="","",('Журнал'!$B363+'Журнал'!$C363)*'План'!$B$9)</f>
      </c>
      <c r="E363">
        <f>IF('Журнал'!$B363="","",'Журнал'!$B363+'Журнал'!$C363+'Журнал'!$D363)</f>
      </c>
      <c r="F363">
        <f>IF('Журнал'!$E363="","",MAX(0,'План'!$B$2-'Журнал'!$E363))</f>
      </c>
    </row>
    <row r="364" spans="1:6" x14ac:dyDescent="0.25">
      <c r="A364">
        <v>363</v>
      </c>
      <c r="B364">
        <f>IF('Журнал'!$E363="","",'Журнал'!$E363)</f>
      </c>
      <c r="C364">
        <f>IF('Журнал'!$B364="","",'План'!$B$6)</f>
      </c>
      <c r="D364">
        <f>IF('Журнал'!$B364="","",('Журнал'!$B364+'Журнал'!$C364)*'План'!$B$9)</f>
      </c>
      <c r="E364">
        <f>IF('Журнал'!$B364="","",'Журнал'!$B364+'Журнал'!$C364+'Журнал'!$D364)</f>
      </c>
      <c r="F364">
        <f>IF('Журнал'!$E364="","",MAX(0,'План'!$B$2-'Журнал'!$E364))</f>
      </c>
    </row>
    <row r="365" spans="1:6" x14ac:dyDescent="0.25">
      <c r="A365">
        <v>364</v>
      </c>
      <c r="B365">
        <f>IF('Журнал'!$E364="","",'Журнал'!$E364)</f>
      </c>
      <c r="C365">
        <f>IF('Журнал'!$B365="","",'План'!$B$6)</f>
      </c>
      <c r="D365">
        <f>IF('Журнал'!$B365="","",('Журнал'!$B365+'Журнал'!$C365)*'План'!$B$9)</f>
      </c>
      <c r="E365">
        <f>IF('Журнал'!$B365="","",'Журнал'!$B365+'Журнал'!$C365+'Журнал'!$D365)</f>
      </c>
      <c r="F365">
        <f>IF('Журнал'!$E365="","",MAX(0,'План'!$B$2-'Журнал'!$E365))</f>
      </c>
    </row>
    <row r="366" spans="1:6" x14ac:dyDescent="0.25">
      <c r="A366">
        <v>365</v>
      </c>
      <c r="B366">
        <f>IF('Журнал'!$E365="","",'Журнал'!$E365)</f>
      </c>
      <c r="C366">
        <f>IF('Журнал'!$B366="","",'План'!$B$6)</f>
      </c>
      <c r="D366">
        <f>IF('Журнал'!$B366="","",('Журнал'!$B366+'Журнал'!$C366)*'План'!$B$9)</f>
      </c>
      <c r="E366">
        <f>IF('Журнал'!$B366="","",'Журнал'!$B366+'Журнал'!$C366+'Журнал'!$D366)</f>
      </c>
      <c r="F366">
        <f>IF('Журнал'!$E366="","",MAX(0,'План'!$B$2-'Журнал'!$E366))</f>
      </c>
    </row>
    <row r="367" spans="1:6" x14ac:dyDescent="0.25">
      <c r="A367">
        <v>366</v>
      </c>
      <c r="B367">
        <f>IF('Журнал'!$E366="","",'Журнал'!$E366)</f>
      </c>
      <c r="C367">
        <f>IF('Журнал'!$B367="","",'План'!$B$6)</f>
      </c>
      <c r="D367">
        <f>IF('Журнал'!$B367="","",('Журнал'!$B367+'Журнал'!$C367)*'План'!$B$9)</f>
      </c>
      <c r="E367">
        <f>IF('Журнал'!$B367="","",'Журнал'!$B367+'Журнал'!$C367+'Журнал'!$D367)</f>
      </c>
      <c r="F367">
        <f>IF('Журнал'!$E367="","",MAX(0,'План'!$B$2-'Журнал'!$E367))</f>
      </c>
    </row>
    <row r="368" spans="1:6" x14ac:dyDescent="0.25">
      <c r="A368">
        <v>367</v>
      </c>
      <c r="B368">
        <f>IF('Журнал'!$E367="","",'Журнал'!$E367)</f>
      </c>
      <c r="C368">
        <f>IF('Журнал'!$B368="","",'План'!$B$6)</f>
      </c>
      <c r="D368">
        <f>IF('Журнал'!$B368="","",('Журнал'!$B368+'Журнал'!$C368)*'План'!$B$9)</f>
      </c>
      <c r="E368">
        <f>IF('Журнал'!$B368="","",'Журнал'!$B368+'Журнал'!$C368+'Журнал'!$D368)</f>
      </c>
      <c r="F368">
        <f>IF('Журнал'!$E368="","",MAX(0,'План'!$B$2-'Журнал'!$E368))</f>
      </c>
    </row>
    <row r="369" spans="1:6" x14ac:dyDescent="0.25">
      <c r="A369">
        <v>368</v>
      </c>
      <c r="B369">
        <f>IF('Журнал'!$E368="","",'Журнал'!$E368)</f>
      </c>
      <c r="C369">
        <f>IF('Журнал'!$B369="","",'План'!$B$6)</f>
      </c>
      <c r="D369">
        <f>IF('Журнал'!$B369="","",('Журнал'!$B369+'Журнал'!$C369)*'План'!$B$9)</f>
      </c>
      <c r="E369">
        <f>IF('Журнал'!$B369="","",'Журнал'!$B369+'Журнал'!$C369+'Журнал'!$D369)</f>
      </c>
      <c r="F369">
        <f>IF('Журнал'!$E369="","",MAX(0,'План'!$B$2-'Журнал'!$E369))</f>
      </c>
    </row>
    <row r="370" spans="1:6" x14ac:dyDescent="0.25">
      <c r="A370">
        <v>369</v>
      </c>
      <c r="B370">
        <f>IF('Журнал'!$E369="","",'Журнал'!$E369)</f>
      </c>
      <c r="C370">
        <f>IF('Журнал'!$B370="","",'План'!$B$6)</f>
      </c>
      <c r="D370">
        <f>IF('Журнал'!$B370="","",('Журнал'!$B370+'Журнал'!$C370)*'План'!$B$9)</f>
      </c>
      <c r="E370">
        <f>IF('Журнал'!$B370="","",'Журнал'!$B370+'Журнал'!$C370+'Журнал'!$D370)</f>
      </c>
      <c r="F370">
        <f>IF('Журнал'!$E370="","",MAX(0,'План'!$B$2-'Журнал'!$E370))</f>
      </c>
    </row>
    <row r="371" spans="1:6" x14ac:dyDescent="0.25">
      <c r="A371">
        <v>370</v>
      </c>
      <c r="B371">
        <f>IF('Журнал'!$E370="","",'Журнал'!$E370)</f>
      </c>
      <c r="C371">
        <f>IF('Журнал'!$B371="","",'План'!$B$6)</f>
      </c>
      <c r="D371">
        <f>IF('Журнал'!$B371="","",('Журнал'!$B371+'Журнал'!$C371)*'План'!$B$9)</f>
      </c>
      <c r="E371">
        <f>IF('Журнал'!$B371="","",'Журнал'!$B371+'Журнал'!$C371+'Журнал'!$D371)</f>
      </c>
      <c r="F371">
        <f>IF('Журнал'!$E371="","",MAX(0,'План'!$B$2-'Журнал'!$E371))</f>
      </c>
    </row>
    <row r="372" spans="1:6" x14ac:dyDescent="0.25">
      <c r="A372">
        <v>371</v>
      </c>
      <c r="B372">
        <f>IF('Журнал'!$E371="","",'Журнал'!$E371)</f>
      </c>
      <c r="C372">
        <f>IF('Журнал'!$B372="","",'План'!$B$6)</f>
      </c>
      <c r="D372">
        <f>IF('Журнал'!$B372="","",('Журнал'!$B372+'Журнал'!$C372)*'План'!$B$9)</f>
      </c>
      <c r="E372">
        <f>IF('Журнал'!$B372="","",'Журнал'!$B372+'Журнал'!$C372+'Журнал'!$D372)</f>
      </c>
      <c r="F372">
        <f>IF('Журнал'!$E372="","",MAX(0,'План'!$B$2-'Журнал'!$E372))</f>
      </c>
    </row>
    <row r="373" spans="1:6" x14ac:dyDescent="0.25">
      <c r="A373">
        <v>372</v>
      </c>
      <c r="B373">
        <f>IF('Журнал'!$E372="","",'Журнал'!$E372)</f>
      </c>
      <c r="C373">
        <f>IF('Журнал'!$B373="","",'План'!$B$6)</f>
      </c>
      <c r="D373">
        <f>IF('Журнал'!$B373="","",('Журнал'!$B373+'Журнал'!$C373)*'План'!$B$9)</f>
      </c>
      <c r="E373">
        <f>IF('Журнал'!$B373="","",'Журнал'!$B373+'Журнал'!$C373+'Журнал'!$D373)</f>
      </c>
      <c r="F373">
        <f>IF('Журнал'!$E373="","",MAX(0,'План'!$B$2-'Журнал'!$E373))</f>
      </c>
    </row>
    <row r="374" spans="1:6" x14ac:dyDescent="0.25">
      <c r="A374">
        <v>373</v>
      </c>
      <c r="B374">
        <f>IF('Журнал'!$E373="","",'Журнал'!$E373)</f>
      </c>
      <c r="C374">
        <f>IF('Журнал'!$B374="","",'План'!$B$6)</f>
      </c>
      <c r="D374">
        <f>IF('Журнал'!$B374="","",('Журнал'!$B374+'Журнал'!$C374)*'План'!$B$9)</f>
      </c>
      <c r="E374">
        <f>IF('Журнал'!$B374="","",'Журнал'!$B374+'Журнал'!$C374+'Журнал'!$D374)</f>
      </c>
      <c r="F374">
        <f>IF('Журнал'!$E374="","",MAX(0,'План'!$B$2-'Журнал'!$E374))</f>
      </c>
    </row>
    <row r="375" spans="1:6" x14ac:dyDescent="0.25">
      <c r="A375">
        <v>374</v>
      </c>
      <c r="B375">
        <f>IF('Журнал'!$E374="","",'Журнал'!$E374)</f>
      </c>
      <c r="C375">
        <f>IF('Журнал'!$B375="","",'План'!$B$6)</f>
      </c>
      <c r="D375">
        <f>IF('Журнал'!$B375="","",('Журнал'!$B375+'Журнал'!$C375)*'План'!$B$9)</f>
      </c>
      <c r="E375">
        <f>IF('Журнал'!$B375="","",'Журнал'!$B375+'Журнал'!$C375+'Журнал'!$D375)</f>
      </c>
      <c r="F375">
        <f>IF('Журнал'!$E375="","",MAX(0,'План'!$B$2-'Журнал'!$E375))</f>
      </c>
    </row>
    <row r="376" spans="1:6" x14ac:dyDescent="0.25">
      <c r="A376">
        <v>375</v>
      </c>
      <c r="B376">
        <f>IF('Журнал'!$E375="","",'Журнал'!$E375)</f>
      </c>
      <c r="C376">
        <f>IF('Журнал'!$B376="","",'План'!$B$6)</f>
      </c>
      <c r="D376">
        <f>IF('Журнал'!$B376="","",('Журнал'!$B376+'Журнал'!$C376)*'План'!$B$9)</f>
      </c>
      <c r="E376">
        <f>IF('Журнал'!$B376="","",'Журнал'!$B376+'Журнал'!$C376+'Журнал'!$D376)</f>
      </c>
      <c r="F376">
        <f>IF('Журнал'!$E376="","",MAX(0,'План'!$B$2-'Журнал'!$E376))</f>
      </c>
    </row>
    <row r="377" spans="1:6" x14ac:dyDescent="0.25">
      <c r="A377">
        <v>376</v>
      </c>
      <c r="B377">
        <f>IF('Журнал'!$E376="","",'Журнал'!$E376)</f>
      </c>
      <c r="C377">
        <f>IF('Журнал'!$B377="","",'План'!$B$6)</f>
      </c>
      <c r="D377">
        <f>IF('Журнал'!$B377="","",('Журнал'!$B377+'Журнал'!$C377)*'План'!$B$9)</f>
      </c>
      <c r="E377">
        <f>IF('Журнал'!$B377="","",'Журнал'!$B377+'Журнал'!$C377+'Журнал'!$D377)</f>
      </c>
      <c r="F377">
        <f>IF('Журнал'!$E377="","",MAX(0,'План'!$B$2-'Журнал'!$E377))</f>
      </c>
    </row>
    <row r="378" spans="1:6" x14ac:dyDescent="0.25">
      <c r="A378">
        <v>377</v>
      </c>
      <c r="B378">
        <f>IF('Журнал'!$E377="","",'Журнал'!$E377)</f>
      </c>
      <c r="C378">
        <f>IF('Журнал'!$B378="","",'План'!$B$6)</f>
      </c>
      <c r="D378">
        <f>IF('Журнал'!$B378="","",('Журнал'!$B378+'Журнал'!$C378)*'План'!$B$9)</f>
      </c>
      <c r="E378">
        <f>IF('Журнал'!$B378="","",'Журнал'!$B378+'Журнал'!$C378+'Журнал'!$D378)</f>
      </c>
      <c r="F378">
        <f>IF('Журнал'!$E378="","",MAX(0,'План'!$B$2-'Журнал'!$E378))</f>
      </c>
    </row>
    <row r="379" spans="1:6" x14ac:dyDescent="0.25">
      <c r="A379">
        <v>378</v>
      </c>
      <c r="B379">
        <f>IF('Журнал'!$E378="","",'Журнал'!$E378)</f>
      </c>
      <c r="C379">
        <f>IF('Журнал'!$B379="","",'План'!$B$6)</f>
      </c>
      <c r="D379">
        <f>IF('Журнал'!$B379="","",('Журнал'!$B379+'Журнал'!$C379)*'План'!$B$9)</f>
      </c>
      <c r="E379">
        <f>IF('Журнал'!$B379="","",'Журнал'!$B379+'Журнал'!$C379+'Журнал'!$D379)</f>
      </c>
      <c r="F379">
        <f>IF('Журнал'!$E379="","",MAX(0,'План'!$B$2-'Журнал'!$E379))</f>
      </c>
    </row>
    <row r="380" spans="1:6" x14ac:dyDescent="0.25">
      <c r="A380">
        <v>379</v>
      </c>
      <c r="B380">
        <f>IF('Журнал'!$E379="","",'Журнал'!$E379)</f>
      </c>
      <c r="C380">
        <f>IF('Журнал'!$B380="","",'План'!$B$6)</f>
      </c>
      <c r="D380">
        <f>IF('Журнал'!$B380="","",('Журнал'!$B380+'Журнал'!$C380)*'План'!$B$9)</f>
      </c>
      <c r="E380">
        <f>IF('Журнал'!$B380="","",'Журнал'!$B380+'Журнал'!$C380+'Журнал'!$D380)</f>
      </c>
      <c r="F380">
        <f>IF('Журнал'!$E380="","",MAX(0,'План'!$B$2-'Журнал'!$E380))</f>
      </c>
    </row>
    <row r="381" spans="1:6" x14ac:dyDescent="0.25">
      <c r="A381">
        <v>380</v>
      </c>
      <c r="B381">
        <f>IF('Журнал'!$E380="","",'Журнал'!$E380)</f>
      </c>
      <c r="C381">
        <f>IF('Журнал'!$B381="","",'План'!$B$6)</f>
      </c>
      <c r="D381">
        <f>IF('Журнал'!$B381="","",('Журнал'!$B381+'Журнал'!$C381)*'План'!$B$9)</f>
      </c>
      <c r="E381">
        <f>IF('Журнал'!$B381="","",'Журнал'!$B381+'Журнал'!$C381+'Журнал'!$D381)</f>
      </c>
      <c r="F381">
        <f>IF('Журнал'!$E381="","",MAX(0,'План'!$B$2-'Журнал'!$E381))</f>
      </c>
    </row>
    <row r="382" spans="1:6" x14ac:dyDescent="0.25">
      <c r="A382">
        <v>381</v>
      </c>
      <c r="B382">
        <f>IF('Журнал'!$E381="","",'Журнал'!$E381)</f>
      </c>
      <c r="C382">
        <f>IF('Журнал'!$B382="","",'План'!$B$6)</f>
      </c>
      <c r="D382">
        <f>IF('Журнал'!$B382="","",('Журнал'!$B382+'Журнал'!$C382)*'План'!$B$9)</f>
      </c>
      <c r="E382">
        <f>IF('Журнал'!$B382="","",'Журнал'!$B382+'Журнал'!$C382+'Журнал'!$D382)</f>
      </c>
      <c r="F382">
        <f>IF('Журнал'!$E382="","",MAX(0,'План'!$B$2-'Журнал'!$E382))</f>
      </c>
    </row>
    <row r="383" spans="1:6" x14ac:dyDescent="0.25">
      <c r="A383">
        <v>382</v>
      </c>
      <c r="B383">
        <f>IF('Журнал'!$E382="","",'Журнал'!$E382)</f>
      </c>
      <c r="C383">
        <f>IF('Журнал'!$B383="","",'План'!$B$6)</f>
      </c>
      <c r="D383">
        <f>IF('Журнал'!$B383="","",('Журнал'!$B383+'Журнал'!$C383)*'План'!$B$9)</f>
      </c>
      <c r="E383">
        <f>IF('Журнал'!$B383="","",'Журнал'!$B383+'Журнал'!$C383+'Журнал'!$D383)</f>
      </c>
      <c r="F383">
        <f>IF('Журнал'!$E383="","",MAX(0,'План'!$B$2-'Журнал'!$E383))</f>
      </c>
    </row>
    <row r="384" spans="1:6" x14ac:dyDescent="0.25">
      <c r="A384">
        <v>383</v>
      </c>
      <c r="B384">
        <f>IF('Журнал'!$E383="","",'Журнал'!$E383)</f>
      </c>
      <c r="C384">
        <f>IF('Журнал'!$B384="","",'План'!$B$6)</f>
      </c>
      <c r="D384">
        <f>IF('Журнал'!$B384="","",('Журнал'!$B384+'Журнал'!$C384)*'План'!$B$9)</f>
      </c>
      <c r="E384">
        <f>IF('Журнал'!$B384="","",'Журнал'!$B384+'Журнал'!$C384+'Журнал'!$D384)</f>
      </c>
      <c r="F384">
        <f>IF('Журнал'!$E384="","",MAX(0,'План'!$B$2-'Журнал'!$E384))</f>
      </c>
    </row>
    <row r="385" spans="1:6" x14ac:dyDescent="0.25">
      <c r="A385">
        <v>384</v>
      </c>
      <c r="B385">
        <f>IF('Журнал'!$E384="","",'Журнал'!$E384)</f>
      </c>
      <c r="C385">
        <f>IF('Журнал'!$B385="","",'План'!$B$6)</f>
      </c>
      <c r="D385">
        <f>IF('Журнал'!$B385="","",('Журнал'!$B385+'Журнал'!$C385)*'План'!$B$9)</f>
      </c>
      <c r="E385">
        <f>IF('Журнал'!$B385="","",'Журнал'!$B385+'Журнал'!$C385+'Журнал'!$D385)</f>
      </c>
      <c r="F385">
        <f>IF('Журнал'!$E385="","",MAX(0,'План'!$B$2-'Журнал'!$E385))</f>
      </c>
    </row>
    <row r="386" spans="1:6" x14ac:dyDescent="0.25">
      <c r="A386">
        <v>385</v>
      </c>
      <c r="B386">
        <f>IF('Журнал'!$E385="","",'Журнал'!$E385)</f>
      </c>
      <c r="C386">
        <f>IF('Журнал'!$B386="","",'План'!$B$6)</f>
      </c>
      <c r="D386">
        <f>IF('Журнал'!$B386="","",('Журнал'!$B386+'Журнал'!$C386)*'План'!$B$9)</f>
      </c>
      <c r="E386">
        <f>IF('Журнал'!$B386="","",'Журнал'!$B386+'Журнал'!$C386+'Журнал'!$D386)</f>
      </c>
      <c r="F386">
        <f>IF('Журнал'!$E386="","",MAX(0,'План'!$B$2-'Журнал'!$E386))</f>
      </c>
    </row>
    <row r="387" spans="1:6" x14ac:dyDescent="0.25">
      <c r="A387">
        <v>386</v>
      </c>
      <c r="B387">
        <f>IF('Журнал'!$E386="","",'Журнал'!$E386)</f>
      </c>
      <c r="C387">
        <f>IF('Журнал'!$B387="","",'План'!$B$6)</f>
      </c>
      <c r="D387">
        <f>IF('Журнал'!$B387="","",('Журнал'!$B387+'Журнал'!$C387)*'План'!$B$9)</f>
      </c>
      <c r="E387">
        <f>IF('Журнал'!$B387="","",'Журнал'!$B387+'Журнал'!$C387+'Журнал'!$D387)</f>
      </c>
      <c r="F387">
        <f>IF('Журнал'!$E387="","",MAX(0,'План'!$B$2-'Журнал'!$E387))</f>
      </c>
    </row>
    <row r="388" spans="1:6" x14ac:dyDescent="0.25">
      <c r="A388">
        <v>387</v>
      </c>
      <c r="B388">
        <f>IF('Журнал'!$E387="","",'Журнал'!$E387)</f>
      </c>
      <c r="C388">
        <f>IF('Журнал'!$B388="","",'План'!$B$6)</f>
      </c>
      <c r="D388">
        <f>IF('Журнал'!$B388="","",('Журнал'!$B388+'Журнал'!$C388)*'План'!$B$9)</f>
      </c>
      <c r="E388">
        <f>IF('Журнал'!$B388="","",'Журнал'!$B388+'Журнал'!$C388+'Журнал'!$D388)</f>
      </c>
      <c r="F388">
        <f>IF('Журнал'!$E388="","",MAX(0,'План'!$B$2-'Журнал'!$E388))</f>
      </c>
    </row>
    <row r="389" spans="1:6" x14ac:dyDescent="0.25">
      <c r="A389">
        <v>388</v>
      </c>
      <c r="B389">
        <f>IF('Журнал'!$E388="","",'Журнал'!$E388)</f>
      </c>
      <c r="C389">
        <f>IF('Журнал'!$B389="","",'План'!$B$6)</f>
      </c>
      <c r="D389">
        <f>IF('Журнал'!$B389="","",('Журнал'!$B389+'Журнал'!$C389)*'План'!$B$9)</f>
      </c>
      <c r="E389">
        <f>IF('Журнал'!$B389="","",'Журнал'!$B389+'Журнал'!$C389+'Журнал'!$D389)</f>
      </c>
      <c r="F389">
        <f>IF('Журнал'!$E389="","",MAX(0,'План'!$B$2-'Журнал'!$E389))</f>
      </c>
    </row>
    <row r="390" spans="1:6" x14ac:dyDescent="0.25">
      <c r="A390">
        <v>389</v>
      </c>
      <c r="B390">
        <f>IF('Журнал'!$E389="","",'Журнал'!$E389)</f>
      </c>
      <c r="C390">
        <f>IF('Журнал'!$B390="","",'План'!$B$6)</f>
      </c>
      <c r="D390">
        <f>IF('Журнал'!$B390="","",('Журнал'!$B390+'Журнал'!$C390)*'План'!$B$9)</f>
      </c>
      <c r="E390">
        <f>IF('Журнал'!$B390="","",'Журнал'!$B390+'Журнал'!$C390+'Журнал'!$D390)</f>
      </c>
      <c r="F390">
        <f>IF('Журнал'!$E390="","",MAX(0,'План'!$B$2-'Журнал'!$E390))</f>
      </c>
    </row>
    <row r="391" spans="1:6" x14ac:dyDescent="0.25">
      <c r="A391">
        <v>390</v>
      </c>
      <c r="B391">
        <f>IF('Журнал'!$E390="","",'Журнал'!$E390)</f>
      </c>
      <c r="C391">
        <f>IF('Журнал'!$B391="","",'План'!$B$6)</f>
      </c>
      <c r="D391">
        <f>IF('Журнал'!$B391="","",('Журнал'!$B391+'Журнал'!$C391)*'План'!$B$9)</f>
      </c>
      <c r="E391">
        <f>IF('Журнал'!$B391="","",'Журнал'!$B391+'Журнал'!$C391+'Журнал'!$D391)</f>
      </c>
      <c r="F391">
        <f>IF('Журнал'!$E391="","",MAX(0,'План'!$B$2-'Журнал'!$E391))</f>
      </c>
    </row>
    <row r="392" spans="1:6" x14ac:dyDescent="0.25">
      <c r="A392">
        <v>391</v>
      </c>
      <c r="B392">
        <f>IF('Журнал'!$E391="","",'Журнал'!$E391)</f>
      </c>
      <c r="C392">
        <f>IF('Журнал'!$B392="","",'План'!$B$6)</f>
      </c>
      <c r="D392">
        <f>IF('Журнал'!$B392="","",('Журнал'!$B392+'Журнал'!$C392)*'План'!$B$9)</f>
      </c>
      <c r="E392">
        <f>IF('Журнал'!$B392="","",'Журнал'!$B392+'Журнал'!$C392+'Журнал'!$D392)</f>
      </c>
      <c r="F392">
        <f>IF('Журнал'!$E392="","",MAX(0,'План'!$B$2-'Журнал'!$E392))</f>
      </c>
    </row>
    <row r="393" spans="1:6" x14ac:dyDescent="0.25">
      <c r="A393">
        <v>392</v>
      </c>
      <c r="B393">
        <f>IF('Журнал'!$E392="","",'Журнал'!$E392)</f>
      </c>
      <c r="C393">
        <f>IF('Журнал'!$B393="","",'План'!$B$6)</f>
      </c>
      <c r="D393">
        <f>IF('Журнал'!$B393="","",('Журнал'!$B393+'Журнал'!$C393)*'План'!$B$9)</f>
      </c>
      <c r="E393">
        <f>IF('Журнал'!$B393="","",'Журнал'!$B393+'Журнал'!$C393+'Журнал'!$D393)</f>
      </c>
      <c r="F393">
        <f>IF('Журнал'!$E393="","",MAX(0,'План'!$B$2-'Журнал'!$E393))</f>
      </c>
    </row>
    <row r="394" spans="1:6" x14ac:dyDescent="0.25">
      <c r="A394">
        <v>393</v>
      </c>
      <c r="B394">
        <f>IF('Журнал'!$E393="","",'Журнал'!$E393)</f>
      </c>
      <c r="C394">
        <f>IF('Журнал'!$B394="","",'План'!$B$6)</f>
      </c>
      <c r="D394">
        <f>IF('Журнал'!$B394="","",('Журнал'!$B394+'Журнал'!$C394)*'План'!$B$9)</f>
      </c>
      <c r="E394">
        <f>IF('Журнал'!$B394="","",'Журнал'!$B394+'Журнал'!$C394+'Журнал'!$D394)</f>
      </c>
      <c r="F394">
        <f>IF('Журнал'!$E394="","",MAX(0,'План'!$B$2-'Журнал'!$E394))</f>
      </c>
    </row>
    <row r="395" spans="1:6" x14ac:dyDescent="0.25">
      <c r="A395">
        <v>394</v>
      </c>
      <c r="B395">
        <f>IF('Журнал'!$E394="","",'Журнал'!$E394)</f>
      </c>
      <c r="C395">
        <f>IF('Журнал'!$B395="","",'План'!$B$6)</f>
      </c>
      <c r="D395">
        <f>IF('Журнал'!$B395="","",('Журнал'!$B395+'Журнал'!$C395)*'План'!$B$9)</f>
      </c>
      <c r="E395">
        <f>IF('Журнал'!$B395="","",'Журнал'!$B395+'Журнал'!$C395+'Журнал'!$D395)</f>
      </c>
      <c r="F395">
        <f>IF('Журнал'!$E395="","",MAX(0,'План'!$B$2-'Журнал'!$E395))</f>
      </c>
    </row>
    <row r="396" spans="1:6" x14ac:dyDescent="0.25">
      <c r="A396">
        <v>395</v>
      </c>
      <c r="B396">
        <f>IF('Журнал'!$E395="","",'Журнал'!$E395)</f>
      </c>
      <c r="C396">
        <f>IF('Журнал'!$B396="","",'План'!$B$6)</f>
      </c>
      <c r="D396">
        <f>IF('Журнал'!$B396="","",('Журнал'!$B396+'Журнал'!$C396)*'План'!$B$9)</f>
      </c>
      <c r="E396">
        <f>IF('Журнал'!$B396="","",'Журнал'!$B396+'Журнал'!$C396+'Журнал'!$D396)</f>
      </c>
      <c r="F396">
        <f>IF('Журнал'!$E396="","",MAX(0,'План'!$B$2-'Журнал'!$E396))</f>
      </c>
    </row>
    <row r="397" spans="1:6" x14ac:dyDescent="0.25">
      <c r="A397">
        <v>396</v>
      </c>
      <c r="B397">
        <f>IF('Журнал'!$E396="","",'Журнал'!$E396)</f>
      </c>
      <c r="C397">
        <f>IF('Журнал'!$B397="","",'План'!$B$6)</f>
      </c>
      <c r="D397">
        <f>IF('Журнал'!$B397="","",('Журнал'!$B397+'Журнал'!$C397)*'План'!$B$9)</f>
      </c>
      <c r="E397">
        <f>IF('Журнал'!$B397="","",'Журнал'!$B397+'Журнал'!$C397+'Журнал'!$D397)</f>
      </c>
      <c r="F397">
        <f>IF('Журнал'!$E397="","",MAX(0,'План'!$B$2-'Журнал'!$E397))</f>
      </c>
    </row>
    <row r="398" spans="1:6" x14ac:dyDescent="0.25">
      <c r="A398">
        <v>397</v>
      </c>
      <c r="B398">
        <f>IF('Журнал'!$E397="","",'Журнал'!$E397)</f>
      </c>
      <c r="C398">
        <f>IF('Журнал'!$B398="","",'План'!$B$6)</f>
      </c>
      <c r="D398">
        <f>IF('Журнал'!$B398="","",('Журнал'!$B398+'Журнал'!$C398)*'План'!$B$9)</f>
      </c>
      <c r="E398">
        <f>IF('Журнал'!$B398="","",'Журнал'!$B398+'Журнал'!$C398+'Журнал'!$D398)</f>
      </c>
      <c r="F398">
        <f>IF('Журнал'!$E398="","",MAX(0,'План'!$B$2-'Журнал'!$E398))</f>
      </c>
    </row>
    <row r="399" spans="1:6" x14ac:dyDescent="0.25">
      <c r="A399">
        <v>398</v>
      </c>
      <c r="B399">
        <f>IF('Журнал'!$E398="","",'Журнал'!$E398)</f>
      </c>
      <c r="C399">
        <f>IF('Журнал'!$B399="","",'План'!$B$6)</f>
      </c>
      <c r="D399">
        <f>IF('Журнал'!$B399="","",('Журнал'!$B399+'Журнал'!$C399)*'План'!$B$9)</f>
      </c>
      <c r="E399">
        <f>IF('Журнал'!$B399="","",'Журнал'!$B399+'Журнал'!$C399+'Журнал'!$D399)</f>
      </c>
      <c r="F399">
        <f>IF('Журнал'!$E399="","",MAX(0,'План'!$B$2-'Журнал'!$E399))</f>
      </c>
    </row>
    <row r="400" spans="1:6" x14ac:dyDescent="0.25">
      <c r="A400">
        <v>399</v>
      </c>
      <c r="B400">
        <f>IF('Журнал'!$E399="","",'Журнал'!$E399)</f>
      </c>
      <c r="C400">
        <f>IF('Журнал'!$B400="","",'План'!$B$6)</f>
      </c>
      <c r="D400">
        <f>IF('Журнал'!$B400="","",('Журнал'!$B400+'Журнал'!$C400)*'План'!$B$9)</f>
      </c>
      <c r="E400">
        <f>IF('Журнал'!$B400="","",'Журнал'!$B400+'Журнал'!$C400+'Журнал'!$D400)</f>
      </c>
      <c r="F400">
        <f>IF('Журнал'!$E400="","",MAX(0,'План'!$B$2-'Журнал'!$E400))</f>
      </c>
    </row>
    <row r="401" spans="1:6" x14ac:dyDescent="0.25">
      <c r="A401">
        <v>400</v>
      </c>
      <c r="B401">
        <f>IF('Журнал'!$E400="","",'Журнал'!$E400)</f>
      </c>
      <c r="C401">
        <f>IF('Журнал'!$B401="","",'План'!$B$6)</f>
      </c>
      <c r="D401">
        <f>IF('Журнал'!$B401="","",('Журнал'!$B401+'Журнал'!$C401)*'План'!$B$9)</f>
      </c>
      <c r="E401">
        <f>IF('Журнал'!$B401="","",'Журнал'!$B401+'Журнал'!$C401+'Журнал'!$D401)</f>
      </c>
      <c r="F401">
        <f>IF('Журнал'!$E401="","",MAX(0,'План'!$B$2-'Журнал'!$E401))</f>
      </c>
    </row>
    <row r="402" spans="1:6" x14ac:dyDescent="0.25">
      <c r="A402">
        <v>401</v>
      </c>
      <c r="B402">
        <f>IF('Журнал'!$E401="","",'Журнал'!$E401)</f>
      </c>
      <c r="C402">
        <f>IF('Журнал'!$B402="","",'План'!$B$6)</f>
      </c>
      <c r="D402">
        <f>IF('Журнал'!$B402="","",('Журнал'!$B402+'Журнал'!$C402)*'План'!$B$9)</f>
      </c>
      <c r="E402">
        <f>IF('Журнал'!$B402="","",'Журнал'!$B402+'Журнал'!$C402+'Журнал'!$D402)</f>
      </c>
      <c r="F402">
        <f>IF('Журнал'!$E402="","",MAX(0,'План'!$B$2-'Журнал'!$E402))</f>
      </c>
    </row>
    <row r="403" spans="1:6" x14ac:dyDescent="0.25">
      <c r="A403">
        <v>402</v>
      </c>
      <c r="B403">
        <f>IF('Журнал'!$E402="","",'Журнал'!$E402)</f>
      </c>
      <c r="C403">
        <f>IF('Журнал'!$B403="","",'План'!$B$6)</f>
      </c>
      <c r="D403">
        <f>IF('Журнал'!$B403="","",('Журнал'!$B403+'Журнал'!$C403)*'План'!$B$9)</f>
      </c>
      <c r="E403">
        <f>IF('Журнал'!$B403="","",'Журнал'!$B403+'Журнал'!$C403+'Журнал'!$D403)</f>
      </c>
      <c r="F403">
        <f>IF('Журнал'!$E403="","",MAX(0,'План'!$B$2-'Журнал'!$E403))</f>
      </c>
    </row>
    <row r="404" spans="1:6" x14ac:dyDescent="0.25">
      <c r="A404">
        <v>403</v>
      </c>
      <c r="B404">
        <f>IF('Журнал'!$E403="","",'Журнал'!$E403)</f>
      </c>
      <c r="C404">
        <f>IF('Журнал'!$B404="","",'План'!$B$6)</f>
      </c>
      <c r="D404">
        <f>IF('Журнал'!$B404="","",('Журнал'!$B404+'Журнал'!$C404)*'План'!$B$9)</f>
      </c>
      <c r="E404">
        <f>IF('Журнал'!$B404="","",'Журнал'!$B404+'Журнал'!$C404+'Журнал'!$D404)</f>
      </c>
      <c r="F404">
        <f>IF('Журнал'!$E404="","",MAX(0,'План'!$B$2-'Журнал'!$E404))</f>
      </c>
    </row>
    <row r="405" spans="1:6" x14ac:dyDescent="0.25">
      <c r="A405">
        <v>404</v>
      </c>
      <c r="B405">
        <f>IF('Журнал'!$E404="","",'Журнал'!$E404)</f>
      </c>
      <c r="C405">
        <f>IF('Журнал'!$B405="","",'План'!$B$6)</f>
      </c>
      <c r="D405">
        <f>IF('Журнал'!$B405="","",('Журнал'!$B405+'Журнал'!$C405)*'План'!$B$9)</f>
      </c>
      <c r="E405">
        <f>IF('Журнал'!$B405="","",'Журнал'!$B405+'Журнал'!$C405+'Журнал'!$D405)</f>
      </c>
      <c r="F405">
        <f>IF('Журнал'!$E405="","",MAX(0,'План'!$B$2-'Журнал'!$E405))</f>
      </c>
    </row>
    <row r="406" spans="1:6" x14ac:dyDescent="0.25">
      <c r="A406">
        <v>405</v>
      </c>
      <c r="B406">
        <f>IF('Журнал'!$E405="","",'Журнал'!$E405)</f>
      </c>
      <c r="C406">
        <f>IF('Журнал'!$B406="","",'План'!$B$6)</f>
      </c>
      <c r="D406">
        <f>IF('Журнал'!$B406="","",('Журнал'!$B406+'Журнал'!$C406)*'План'!$B$9)</f>
      </c>
      <c r="E406">
        <f>IF('Журнал'!$B406="","",'Журнал'!$B406+'Журнал'!$C406+'Журнал'!$D406)</f>
      </c>
      <c r="F406">
        <f>IF('Журнал'!$E406="","",MAX(0,'План'!$B$2-'Журнал'!$E406))</f>
      </c>
    </row>
    <row r="407" spans="1:6" x14ac:dyDescent="0.25">
      <c r="A407">
        <v>406</v>
      </c>
      <c r="B407">
        <f>IF('Журнал'!$E406="","",'Журнал'!$E406)</f>
      </c>
      <c r="C407">
        <f>IF('Журнал'!$B407="","",'План'!$B$6)</f>
      </c>
      <c r="D407">
        <f>IF('Журнал'!$B407="","",('Журнал'!$B407+'Журнал'!$C407)*'План'!$B$9)</f>
      </c>
      <c r="E407">
        <f>IF('Журнал'!$B407="","",'Журнал'!$B407+'Журнал'!$C407+'Журнал'!$D407)</f>
      </c>
      <c r="F407">
        <f>IF('Журнал'!$E407="","",MAX(0,'План'!$B$2-'Журнал'!$E407))</f>
      </c>
    </row>
    <row r="408" spans="1:6" x14ac:dyDescent="0.25">
      <c r="A408">
        <v>407</v>
      </c>
      <c r="B408">
        <f>IF('Журнал'!$E407="","",'Журнал'!$E407)</f>
      </c>
      <c r="C408">
        <f>IF('Журнал'!$B408="","",'План'!$B$6)</f>
      </c>
      <c r="D408">
        <f>IF('Журнал'!$B408="","",('Журнал'!$B408+'Журнал'!$C408)*'План'!$B$9)</f>
      </c>
      <c r="E408">
        <f>IF('Журнал'!$B408="","",'Журнал'!$B408+'Журнал'!$C408+'Журнал'!$D408)</f>
      </c>
      <c r="F408">
        <f>IF('Журнал'!$E408="","",MAX(0,'План'!$B$2-'Журнал'!$E408))</f>
      </c>
    </row>
    <row r="409" spans="1:6" x14ac:dyDescent="0.25">
      <c r="A409">
        <v>408</v>
      </c>
      <c r="B409">
        <f>IF('Журнал'!$E408="","",'Журнал'!$E408)</f>
      </c>
      <c r="C409">
        <f>IF('Журнал'!$B409="","",'План'!$B$6)</f>
      </c>
      <c r="D409">
        <f>IF('Журнал'!$B409="","",('Журнал'!$B409+'Журнал'!$C409)*'План'!$B$9)</f>
      </c>
      <c r="E409">
        <f>IF('Журнал'!$B409="","",'Журнал'!$B409+'Журнал'!$C409+'Журнал'!$D409)</f>
      </c>
      <c r="F409">
        <f>IF('Журнал'!$E409="","",MAX(0,'План'!$B$2-'Журнал'!$E409))</f>
      </c>
    </row>
    <row r="410" spans="1:6" x14ac:dyDescent="0.25">
      <c r="A410">
        <v>409</v>
      </c>
      <c r="B410">
        <f>IF('Журнал'!$E409="","",'Журнал'!$E409)</f>
      </c>
      <c r="C410">
        <f>IF('Журнал'!$B410="","",'План'!$B$6)</f>
      </c>
      <c r="D410">
        <f>IF('Журнал'!$B410="","",('Журнал'!$B410+'Журнал'!$C410)*'План'!$B$9)</f>
      </c>
      <c r="E410">
        <f>IF('Журнал'!$B410="","",'Журнал'!$B410+'Журнал'!$C410+'Журнал'!$D410)</f>
      </c>
      <c r="F410">
        <f>IF('Журнал'!$E410="","",MAX(0,'План'!$B$2-'Журнал'!$E410))</f>
      </c>
    </row>
    <row r="411" spans="1:6" x14ac:dyDescent="0.25">
      <c r="A411">
        <v>410</v>
      </c>
      <c r="B411">
        <f>IF('Журнал'!$E410="","",'Журнал'!$E410)</f>
      </c>
      <c r="C411">
        <f>IF('Журнал'!$B411="","",'План'!$B$6)</f>
      </c>
      <c r="D411">
        <f>IF('Журнал'!$B411="","",('Журнал'!$B411+'Журнал'!$C411)*'План'!$B$9)</f>
      </c>
      <c r="E411">
        <f>IF('Журнал'!$B411="","",'Журнал'!$B411+'Журнал'!$C411+'Журнал'!$D411)</f>
      </c>
      <c r="F411">
        <f>IF('Журнал'!$E411="","",MAX(0,'План'!$B$2-'Журнал'!$E411))</f>
      </c>
    </row>
    <row r="412" spans="1:6" x14ac:dyDescent="0.25">
      <c r="A412">
        <v>411</v>
      </c>
      <c r="B412">
        <f>IF('Журнал'!$E411="","",'Журнал'!$E411)</f>
      </c>
      <c r="C412">
        <f>IF('Журнал'!$B412="","",'План'!$B$6)</f>
      </c>
      <c r="D412">
        <f>IF('Журнал'!$B412="","",('Журнал'!$B412+'Журнал'!$C412)*'План'!$B$9)</f>
      </c>
      <c r="E412">
        <f>IF('Журнал'!$B412="","",'Журнал'!$B412+'Журнал'!$C412+'Журнал'!$D412)</f>
      </c>
      <c r="F412">
        <f>IF('Журнал'!$E412="","",MAX(0,'План'!$B$2-'Журнал'!$E412))</f>
      </c>
    </row>
    <row r="413" spans="1:6" x14ac:dyDescent="0.25">
      <c r="A413">
        <v>412</v>
      </c>
      <c r="B413">
        <f>IF('Журнал'!$E412="","",'Журнал'!$E412)</f>
      </c>
      <c r="C413">
        <f>IF('Журнал'!$B413="","",'План'!$B$6)</f>
      </c>
      <c r="D413">
        <f>IF('Журнал'!$B413="","",('Журнал'!$B413+'Журнал'!$C413)*'План'!$B$9)</f>
      </c>
      <c r="E413">
        <f>IF('Журнал'!$B413="","",'Журнал'!$B413+'Журнал'!$C413+'Журнал'!$D413)</f>
      </c>
      <c r="F413">
        <f>IF('Журнал'!$E413="","",MAX(0,'План'!$B$2-'Журнал'!$E413))</f>
      </c>
    </row>
    <row r="414" spans="1:6" x14ac:dyDescent="0.25">
      <c r="A414">
        <v>413</v>
      </c>
      <c r="B414">
        <f>IF('Журнал'!$E413="","",'Журнал'!$E413)</f>
      </c>
      <c r="C414">
        <f>IF('Журнал'!$B414="","",'План'!$B$6)</f>
      </c>
      <c r="D414">
        <f>IF('Журнал'!$B414="","",('Журнал'!$B414+'Журнал'!$C414)*'План'!$B$9)</f>
      </c>
      <c r="E414">
        <f>IF('Журнал'!$B414="","",'Журнал'!$B414+'Журнал'!$C414+'Журнал'!$D414)</f>
      </c>
      <c r="F414">
        <f>IF('Журнал'!$E414="","",MAX(0,'План'!$B$2-'Журнал'!$E414))</f>
      </c>
    </row>
    <row r="415" spans="1:6" x14ac:dyDescent="0.25">
      <c r="A415">
        <v>414</v>
      </c>
      <c r="B415">
        <f>IF('Журнал'!$E414="","",'Журнал'!$E414)</f>
      </c>
      <c r="C415">
        <f>IF('Журнал'!$B415="","",'План'!$B$6)</f>
      </c>
      <c r="D415">
        <f>IF('Журнал'!$B415="","",('Журнал'!$B415+'Журнал'!$C415)*'План'!$B$9)</f>
      </c>
      <c r="E415">
        <f>IF('Журнал'!$B415="","",'Журнал'!$B415+'Журнал'!$C415+'Журнал'!$D415)</f>
      </c>
      <c r="F415">
        <f>IF('Журнал'!$E415="","",MAX(0,'План'!$B$2-'Журнал'!$E415))</f>
      </c>
    </row>
    <row r="416" spans="1:6" x14ac:dyDescent="0.25">
      <c r="A416">
        <v>415</v>
      </c>
      <c r="B416">
        <f>IF('Журнал'!$E415="","",'Журнал'!$E415)</f>
      </c>
      <c r="C416">
        <f>IF('Журнал'!$B416="","",'План'!$B$6)</f>
      </c>
      <c r="D416">
        <f>IF('Журнал'!$B416="","",('Журнал'!$B416+'Журнал'!$C416)*'План'!$B$9)</f>
      </c>
      <c r="E416">
        <f>IF('Журнал'!$B416="","",'Журнал'!$B416+'Журнал'!$C416+'Журнал'!$D416)</f>
      </c>
      <c r="F416">
        <f>IF('Журнал'!$E416="","",MAX(0,'План'!$B$2-'Журнал'!$E416))</f>
      </c>
    </row>
    <row r="417" spans="1:6" x14ac:dyDescent="0.25">
      <c r="A417">
        <v>416</v>
      </c>
      <c r="B417">
        <f>IF('Журнал'!$E416="","",'Журнал'!$E416)</f>
      </c>
      <c r="C417">
        <f>IF('Журнал'!$B417="","",'План'!$B$6)</f>
      </c>
      <c r="D417">
        <f>IF('Журнал'!$B417="","",('Журнал'!$B417+'Журнал'!$C417)*'План'!$B$9)</f>
      </c>
      <c r="E417">
        <f>IF('Журнал'!$B417="","",'Журнал'!$B417+'Журнал'!$C417+'Журнал'!$D417)</f>
      </c>
      <c r="F417">
        <f>IF('Журнал'!$E417="","",MAX(0,'План'!$B$2-'Журнал'!$E417))</f>
      </c>
    </row>
    <row r="418" spans="1:6" x14ac:dyDescent="0.25">
      <c r="A418">
        <v>417</v>
      </c>
      <c r="B418">
        <f>IF('Журнал'!$E417="","",'Журнал'!$E417)</f>
      </c>
      <c r="C418">
        <f>IF('Журнал'!$B418="","",'План'!$B$6)</f>
      </c>
      <c r="D418">
        <f>IF('Журнал'!$B418="","",('Журнал'!$B418+'Журнал'!$C418)*'План'!$B$9)</f>
      </c>
      <c r="E418">
        <f>IF('Журнал'!$B418="","",'Журнал'!$B418+'Журнал'!$C418+'Журнал'!$D418)</f>
      </c>
      <c r="F418">
        <f>IF('Журнал'!$E418="","",MAX(0,'План'!$B$2-'Журнал'!$E418))</f>
      </c>
    </row>
    <row r="419" spans="1:6" x14ac:dyDescent="0.25">
      <c r="A419">
        <v>418</v>
      </c>
      <c r="B419">
        <f>IF('Журнал'!$E418="","",'Журнал'!$E418)</f>
      </c>
      <c r="C419">
        <f>IF('Журнал'!$B419="","",'План'!$B$6)</f>
      </c>
      <c r="D419">
        <f>IF('Журнал'!$B419="","",('Журнал'!$B419+'Журнал'!$C419)*'План'!$B$9)</f>
      </c>
      <c r="E419">
        <f>IF('Журнал'!$B419="","",'Журнал'!$B419+'Журнал'!$C419+'Журнал'!$D419)</f>
      </c>
      <c r="F419">
        <f>IF('Журнал'!$E419="","",MAX(0,'План'!$B$2-'Журнал'!$E419))</f>
      </c>
    </row>
    <row r="420" spans="1:6" x14ac:dyDescent="0.25">
      <c r="A420">
        <v>419</v>
      </c>
      <c r="B420">
        <f>IF('Журнал'!$E419="","",'Журнал'!$E419)</f>
      </c>
      <c r="C420">
        <f>IF('Журнал'!$B420="","",'План'!$B$6)</f>
      </c>
      <c r="D420">
        <f>IF('Журнал'!$B420="","",('Журнал'!$B420+'Журнал'!$C420)*'План'!$B$9)</f>
      </c>
      <c r="E420">
        <f>IF('Журнал'!$B420="","",'Журнал'!$B420+'Журнал'!$C420+'Журнал'!$D420)</f>
      </c>
      <c r="F420">
        <f>IF('Журнал'!$E420="","",MAX(0,'План'!$B$2-'Журнал'!$E420))</f>
      </c>
    </row>
    <row r="421" spans="1:6" x14ac:dyDescent="0.25">
      <c r="A421">
        <v>420</v>
      </c>
      <c r="B421">
        <f>IF('Журнал'!$E420="","",'Журнал'!$E420)</f>
      </c>
      <c r="C421">
        <f>IF('Журнал'!$B421="","",'План'!$B$6)</f>
      </c>
      <c r="D421">
        <f>IF('Журнал'!$B421="","",('Журнал'!$B421+'Журнал'!$C421)*'План'!$B$9)</f>
      </c>
      <c r="E421">
        <f>IF('Журнал'!$B421="","",'Журнал'!$B421+'Журнал'!$C421+'Журнал'!$D421)</f>
      </c>
      <c r="F421">
        <f>IF('Журнал'!$E421="","",MAX(0,'План'!$B$2-'Журнал'!$E421))</f>
      </c>
    </row>
    <row r="422" spans="1:6" x14ac:dyDescent="0.25">
      <c r="A422">
        <v>421</v>
      </c>
      <c r="B422">
        <f>IF('Журнал'!$E421="","",'Журнал'!$E421)</f>
      </c>
      <c r="C422">
        <f>IF('Журнал'!$B422="","",'План'!$B$6)</f>
      </c>
      <c r="D422">
        <f>IF('Журнал'!$B422="","",('Журнал'!$B422+'Журнал'!$C422)*'План'!$B$9)</f>
      </c>
      <c r="E422">
        <f>IF('Журнал'!$B422="","",'Журнал'!$B422+'Журнал'!$C422+'Журнал'!$D422)</f>
      </c>
      <c r="F422">
        <f>IF('Журнал'!$E422="","",MAX(0,'План'!$B$2-'Журнал'!$E422))</f>
      </c>
    </row>
    <row r="423" spans="1:6" x14ac:dyDescent="0.25">
      <c r="A423">
        <v>422</v>
      </c>
      <c r="B423">
        <f>IF('Журнал'!$E422="","",'Журнал'!$E422)</f>
      </c>
      <c r="C423">
        <f>IF('Журнал'!$B423="","",'План'!$B$6)</f>
      </c>
      <c r="D423">
        <f>IF('Журнал'!$B423="","",('Журнал'!$B423+'Журнал'!$C423)*'План'!$B$9)</f>
      </c>
      <c r="E423">
        <f>IF('Журнал'!$B423="","",'Журнал'!$B423+'Журнал'!$C423+'Журнал'!$D423)</f>
      </c>
      <c r="F423">
        <f>IF('Журнал'!$E423="","",MAX(0,'План'!$B$2-'Журнал'!$E423))</f>
      </c>
    </row>
    <row r="424" spans="1:6" x14ac:dyDescent="0.25">
      <c r="A424">
        <v>423</v>
      </c>
      <c r="B424">
        <f>IF('Журнал'!$E423="","",'Журнал'!$E423)</f>
      </c>
      <c r="C424">
        <f>IF('Журнал'!$B424="","",'План'!$B$6)</f>
      </c>
      <c r="D424">
        <f>IF('Журнал'!$B424="","",('Журнал'!$B424+'Журнал'!$C424)*'План'!$B$9)</f>
      </c>
      <c r="E424">
        <f>IF('Журнал'!$B424="","",'Журнал'!$B424+'Журнал'!$C424+'Журнал'!$D424)</f>
      </c>
      <c r="F424">
        <f>IF('Журнал'!$E424="","",MAX(0,'План'!$B$2-'Журнал'!$E424))</f>
      </c>
    </row>
    <row r="425" spans="1:6" x14ac:dyDescent="0.25">
      <c r="A425">
        <v>424</v>
      </c>
      <c r="B425">
        <f>IF('Журнал'!$E424="","",'Журнал'!$E424)</f>
      </c>
      <c r="C425">
        <f>IF('Журнал'!$B425="","",'План'!$B$6)</f>
      </c>
      <c r="D425">
        <f>IF('Журнал'!$B425="","",('Журнал'!$B425+'Журнал'!$C425)*'План'!$B$9)</f>
      </c>
      <c r="E425">
        <f>IF('Журнал'!$B425="","",'Журнал'!$B425+'Журнал'!$C425+'Журнал'!$D425)</f>
      </c>
      <c r="F425">
        <f>IF('Журнал'!$E425="","",MAX(0,'План'!$B$2-'Журнал'!$E425))</f>
      </c>
    </row>
    <row r="426" spans="1:6" x14ac:dyDescent="0.25">
      <c r="A426">
        <v>425</v>
      </c>
      <c r="B426">
        <f>IF('Журнал'!$E425="","",'Журнал'!$E425)</f>
      </c>
      <c r="C426">
        <f>IF('Журнал'!$B426="","",'План'!$B$6)</f>
      </c>
      <c r="D426">
        <f>IF('Журнал'!$B426="","",('Журнал'!$B426+'Журнал'!$C426)*'План'!$B$9)</f>
      </c>
      <c r="E426">
        <f>IF('Журнал'!$B426="","",'Журнал'!$B426+'Журнал'!$C426+'Журнал'!$D426)</f>
      </c>
      <c r="F426">
        <f>IF('Журнал'!$E426="","",MAX(0,'План'!$B$2-'Журнал'!$E426))</f>
      </c>
    </row>
    <row r="427" spans="1:6" x14ac:dyDescent="0.25">
      <c r="A427">
        <v>426</v>
      </c>
      <c r="B427">
        <f>IF('Журнал'!$E426="","",'Журнал'!$E426)</f>
      </c>
      <c r="C427">
        <f>IF('Журнал'!$B427="","",'План'!$B$6)</f>
      </c>
      <c r="D427">
        <f>IF('Журнал'!$B427="","",('Журнал'!$B427+'Журнал'!$C427)*'План'!$B$9)</f>
      </c>
      <c r="E427">
        <f>IF('Журнал'!$B427="","",'Журнал'!$B427+'Журнал'!$C427+'Журнал'!$D427)</f>
      </c>
      <c r="F427">
        <f>IF('Журнал'!$E427="","",MAX(0,'План'!$B$2-'Журнал'!$E427))</f>
      </c>
    </row>
    <row r="428" spans="1:6" x14ac:dyDescent="0.25">
      <c r="A428">
        <v>427</v>
      </c>
      <c r="B428">
        <f>IF('Журнал'!$E427="","",'Журнал'!$E427)</f>
      </c>
      <c r="C428">
        <f>IF('Журнал'!$B428="","",'План'!$B$6)</f>
      </c>
      <c r="D428">
        <f>IF('Журнал'!$B428="","",('Журнал'!$B428+'Журнал'!$C428)*'План'!$B$9)</f>
      </c>
      <c r="E428">
        <f>IF('Журнал'!$B428="","",'Журнал'!$B428+'Журнал'!$C428+'Журнал'!$D428)</f>
      </c>
      <c r="F428">
        <f>IF('Журнал'!$E428="","",MAX(0,'План'!$B$2-'Журнал'!$E428))</f>
      </c>
    </row>
    <row r="429" spans="1:6" x14ac:dyDescent="0.25">
      <c r="A429">
        <v>428</v>
      </c>
      <c r="B429">
        <f>IF('Журнал'!$E428="","",'Журнал'!$E428)</f>
      </c>
      <c r="C429">
        <f>IF('Журнал'!$B429="","",'План'!$B$6)</f>
      </c>
      <c r="D429">
        <f>IF('Журнал'!$B429="","",('Журнал'!$B429+'Журнал'!$C429)*'План'!$B$9)</f>
      </c>
      <c r="E429">
        <f>IF('Журнал'!$B429="","",'Журнал'!$B429+'Журнал'!$C429+'Журнал'!$D429)</f>
      </c>
      <c r="F429">
        <f>IF('Журнал'!$E429="","",MAX(0,'План'!$B$2-'Журнал'!$E429))</f>
      </c>
    </row>
    <row r="430" spans="1:6" x14ac:dyDescent="0.25">
      <c r="A430">
        <v>429</v>
      </c>
      <c r="B430">
        <f>IF('Журнал'!$E429="","",'Журнал'!$E429)</f>
      </c>
      <c r="C430">
        <f>IF('Журнал'!$B430="","",'План'!$B$6)</f>
      </c>
      <c r="D430">
        <f>IF('Журнал'!$B430="","",('Журнал'!$B430+'Журнал'!$C430)*'План'!$B$9)</f>
      </c>
      <c r="E430">
        <f>IF('Журнал'!$B430="","",'Журнал'!$B430+'Журнал'!$C430+'Журнал'!$D430)</f>
      </c>
      <c r="F430">
        <f>IF('Журнал'!$E430="","",MAX(0,'План'!$B$2-'Журнал'!$E430))</f>
      </c>
    </row>
    <row r="431" spans="1:6" x14ac:dyDescent="0.25">
      <c r="A431">
        <v>430</v>
      </c>
      <c r="B431">
        <f>IF('Журнал'!$E430="","",'Журнал'!$E430)</f>
      </c>
      <c r="C431">
        <f>IF('Журнал'!$B431="","",'План'!$B$6)</f>
      </c>
      <c r="D431">
        <f>IF('Журнал'!$B431="","",('Журнал'!$B431+'Журнал'!$C431)*'План'!$B$9)</f>
      </c>
      <c r="E431">
        <f>IF('Журнал'!$B431="","",'Журнал'!$B431+'Журнал'!$C431+'Журнал'!$D431)</f>
      </c>
      <c r="F431">
        <f>IF('Журнал'!$E431="","",MAX(0,'План'!$B$2-'Журнал'!$E431))</f>
      </c>
    </row>
    <row r="432" spans="1:6" x14ac:dyDescent="0.25">
      <c r="A432">
        <v>431</v>
      </c>
      <c r="B432">
        <f>IF('Журнал'!$E431="","",'Журнал'!$E431)</f>
      </c>
      <c r="C432">
        <f>IF('Журнал'!$B432="","",'План'!$B$6)</f>
      </c>
      <c r="D432">
        <f>IF('Журнал'!$B432="","",('Журнал'!$B432+'Журнал'!$C432)*'План'!$B$9)</f>
      </c>
      <c r="E432">
        <f>IF('Журнал'!$B432="","",'Журнал'!$B432+'Журнал'!$C432+'Журнал'!$D432)</f>
      </c>
      <c r="F432">
        <f>IF('Журнал'!$E432="","",MAX(0,'План'!$B$2-'Журнал'!$E432))</f>
      </c>
    </row>
    <row r="433" spans="1:6" x14ac:dyDescent="0.25">
      <c r="A433">
        <v>432</v>
      </c>
      <c r="B433">
        <f>IF('Журнал'!$E432="","",'Журнал'!$E432)</f>
      </c>
      <c r="C433">
        <f>IF('Журнал'!$B433="","",'План'!$B$6)</f>
      </c>
      <c r="D433">
        <f>IF('Журнал'!$B433="","",('Журнал'!$B433+'Журнал'!$C433)*'План'!$B$9)</f>
      </c>
      <c r="E433">
        <f>IF('Журнал'!$B433="","",'Журнал'!$B433+'Журнал'!$C433+'Журнал'!$D433)</f>
      </c>
      <c r="F433">
        <f>IF('Журнал'!$E433="","",MAX(0,'План'!$B$2-'Журнал'!$E433))</f>
      </c>
    </row>
    <row r="434" spans="1:6" x14ac:dyDescent="0.25">
      <c r="A434">
        <v>433</v>
      </c>
      <c r="B434">
        <f>IF('Журнал'!$E433="","",'Журнал'!$E433)</f>
      </c>
      <c r="C434">
        <f>IF('Журнал'!$B434="","",'План'!$B$6)</f>
      </c>
      <c r="D434">
        <f>IF('Журнал'!$B434="","",('Журнал'!$B434+'Журнал'!$C434)*'План'!$B$9)</f>
      </c>
      <c r="E434">
        <f>IF('Журнал'!$B434="","",'Журнал'!$B434+'Журнал'!$C434+'Журнал'!$D434)</f>
      </c>
      <c r="F434">
        <f>IF('Журнал'!$E434="","",MAX(0,'План'!$B$2-'Журнал'!$E434))</f>
      </c>
    </row>
    <row r="435" spans="1:6" x14ac:dyDescent="0.25">
      <c r="A435">
        <v>434</v>
      </c>
      <c r="B435">
        <f>IF('Журнал'!$E434="","",'Журнал'!$E434)</f>
      </c>
      <c r="C435">
        <f>IF('Журнал'!$B435="","",'План'!$B$6)</f>
      </c>
      <c r="D435">
        <f>IF('Журнал'!$B435="","",('Журнал'!$B435+'Журнал'!$C435)*'План'!$B$9)</f>
      </c>
      <c r="E435">
        <f>IF('Журнал'!$B435="","",'Журнал'!$B435+'Журнал'!$C435+'Журнал'!$D435)</f>
      </c>
      <c r="F435">
        <f>IF('Журнал'!$E435="","",MAX(0,'План'!$B$2-'Журнал'!$E435))</f>
      </c>
    </row>
    <row r="436" spans="1:6" x14ac:dyDescent="0.25">
      <c r="A436">
        <v>435</v>
      </c>
      <c r="B436">
        <f>IF('Журнал'!$E435="","",'Журнал'!$E435)</f>
      </c>
      <c r="C436">
        <f>IF('Журнал'!$B436="","",'План'!$B$6)</f>
      </c>
      <c r="D436">
        <f>IF('Журнал'!$B436="","",('Журнал'!$B436+'Журнал'!$C436)*'План'!$B$9)</f>
      </c>
      <c r="E436">
        <f>IF('Журнал'!$B436="","",'Журнал'!$B436+'Журнал'!$C436+'Журнал'!$D436)</f>
      </c>
      <c r="F436">
        <f>IF('Журнал'!$E436="","",MAX(0,'План'!$B$2-'Журнал'!$E436))</f>
      </c>
    </row>
    <row r="437" spans="1:6" x14ac:dyDescent="0.25">
      <c r="A437">
        <v>436</v>
      </c>
      <c r="B437">
        <f>IF('Журнал'!$E436="","",'Журнал'!$E436)</f>
      </c>
      <c r="C437">
        <f>IF('Журнал'!$B437="","",'План'!$B$6)</f>
      </c>
      <c r="D437">
        <f>IF('Журнал'!$B437="","",('Журнал'!$B437+'Журнал'!$C437)*'План'!$B$9)</f>
      </c>
      <c r="E437">
        <f>IF('Журнал'!$B437="","",'Журнал'!$B437+'Журнал'!$C437+'Журнал'!$D437)</f>
      </c>
      <c r="F437">
        <f>IF('Журнал'!$E437="","",MAX(0,'План'!$B$2-'Журнал'!$E437))</f>
      </c>
    </row>
    <row r="438" spans="1:6" x14ac:dyDescent="0.25">
      <c r="A438">
        <v>437</v>
      </c>
      <c r="B438">
        <f>IF('Журнал'!$E437="","",'Журнал'!$E437)</f>
      </c>
      <c r="C438">
        <f>IF('Журнал'!$B438="","",'План'!$B$6)</f>
      </c>
      <c r="D438">
        <f>IF('Журнал'!$B438="","",('Журнал'!$B438+'Журнал'!$C438)*'План'!$B$9)</f>
      </c>
      <c r="E438">
        <f>IF('Журнал'!$B438="","",'Журнал'!$B438+'Журнал'!$C438+'Журнал'!$D438)</f>
      </c>
      <c r="F438">
        <f>IF('Журнал'!$E438="","",MAX(0,'План'!$B$2-'Журнал'!$E438))</f>
      </c>
    </row>
    <row r="439" spans="1:6" x14ac:dyDescent="0.25">
      <c r="A439">
        <v>438</v>
      </c>
      <c r="B439">
        <f>IF('Журнал'!$E438="","",'Журнал'!$E438)</f>
      </c>
      <c r="C439">
        <f>IF('Журнал'!$B439="","",'План'!$B$6)</f>
      </c>
      <c r="D439">
        <f>IF('Журнал'!$B439="","",('Журнал'!$B439+'Журнал'!$C439)*'План'!$B$9)</f>
      </c>
      <c r="E439">
        <f>IF('Журнал'!$B439="","",'Журнал'!$B439+'Журнал'!$C439+'Журнал'!$D439)</f>
      </c>
      <c r="F439">
        <f>IF('Журнал'!$E439="","",MAX(0,'План'!$B$2-'Журнал'!$E439))</f>
      </c>
    </row>
    <row r="440" spans="1:6" x14ac:dyDescent="0.25">
      <c r="A440">
        <v>439</v>
      </c>
      <c r="B440">
        <f>IF('Журнал'!$E439="","",'Журнал'!$E439)</f>
      </c>
      <c r="C440">
        <f>IF('Журнал'!$B440="","",'План'!$B$6)</f>
      </c>
      <c r="D440">
        <f>IF('Журнал'!$B440="","",('Журнал'!$B440+'Журнал'!$C440)*'План'!$B$9)</f>
      </c>
      <c r="E440">
        <f>IF('Журнал'!$B440="","",'Журнал'!$B440+'Журнал'!$C440+'Журнал'!$D440)</f>
      </c>
      <c r="F440">
        <f>IF('Журнал'!$E440="","",MAX(0,'План'!$B$2-'Журнал'!$E440))</f>
      </c>
    </row>
    <row r="441" spans="1:6" x14ac:dyDescent="0.25">
      <c r="A441">
        <v>440</v>
      </c>
      <c r="B441">
        <f>IF('Журнал'!$E440="","",'Журнал'!$E440)</f>
      </c>
      <c r="C441">
        <f>IF('Журнал'!$B441="","",'План'!$B$6)</f>
      </c>
      <c r="D441">
        <f>IF('Журнал'!$B441="","",('Журнал'!$B441+'Журнал'!$C441)*'План'!$B$9)</f>
      </c>
      <c r="E441">
        <f>IF('Журнал'!$B441="","",'Журнал'!$B441+'Журнал'!$C441+'Журнал'!$D441)</f>
      </c>
      <c r="F441">
        <f>IF('Журнал'!$E441="","",MAX(0,'План'!$B$2-'Журнал'!$E441))</f>
      </c>
    </row>
    <row r="442" spans="1:6" x14ac:dyDescent="0.25">
      <c r="A442">
        <v>441</v>
      </c>
      <c r="B442">
        <f>IF('Журнал'!$E441="","",'Журнал'!$E441)</f>
      </c>
      <c r="C442">
        <f>IF('Журнал'!$B442="","",'План'!$B$6)</f>
      </c>
      <c r="D442">
        <f>IF('Журнал'!$B442="","",('Журнал'!$B442+'Журнал'!$C442)*'План'!$B$9)</f>
      </c>
      <c r="E442">
        <f>IF('Журнал'!$B442="","",'Журнал'!$B442+'Журнал'!$C442+'Журнал'!$D442)</f>
      </c>
      <c r="F442">
        <f>IF('Журнал'!$E442="","",MAX(0,'План'!$B$2-'Журнал'!$E442))</f>
      </c>
    </row>
    <row r="443" spans="1:6" x14ac:dyDescent="0.25">
      <c r="A443">
        <v>442</v>
      </c>
      <c r="B443">
        <f>IF('Журнал'!$E442="","",'Журнал'!$E442)</f>
      </c>
      <c r="C443">
        <f>IF('Журнал'!$B443="","",'План'!$B$6)</f>
      </c>
      <c r="D443">
        <f>IF('Журнал'!$B443="","",('Журнал'!$B443+'Журнал'!$C443)*'План'!$B$9)</f>
      </c>
      <c r="E443">
        <f>IF('Журнал'!$B443="","",'Журнал'!$B443+'Журнал'!$C443+'Журнал'!$D443)</f>
      </c>
      <c r="F443">
        <f>IF('Журнал'!$E443="","",MAX(0,'План'!$B$2-'Журнал'!$E443))</f>
      </c>
    </row>
    <row r="444" spans="1:6" x14ac:dyDescent="0.25">
      <c r="A444">
        <v>443</v>
      </c>
      <c r="B444">
        <f>IF('Журнал'!$E443="","",'Журнал'!$E443)</f>
      </c>
      <c r="C444">
        <f>IF('Журнал'!$B444="","",'План'!$B$6)</f>
      </c>
      <c r="D444">
        <f>IF('Журнал'!$B444="","",('Журнал'!$B444+'Журнал'!$C444)*'План'!$B$9)</f>
      </c>
      <c r="E444">
        <f>IF('Журнал'!$B444="","",'Журнал'!$B444+'Журнал'!$C444+'Журнал'!$D444)</f>
      </c>
      <c r="F444">
        <f>IF('Журнал'!$E444="","",MAX(0,'План'!$B$2-'Журнал'!$E444))</f>
      </c>
    </row>
    <row r="445" spans="1:6" x14ac:dyDescent="0.25">
      <c r="A445">
        <v>444</v>
      </c>
      <c r="B445">
        <f>IF('Журнал'!$E444="","",'Журнал'!$E444)</f>
      </c>
      <c r="C445">
        <f>IF('Журнал'!$B445="","",'План'!$B$6)</f>
      </c>
      <c r="D445">
        <f>IF('Журнал'!$B445="","",('Журнал'!$B445+'Журнал'!$C445)*'План'!$B$9)</f>
      </c>
      <c r="E445">
        <f>IF('Журнал'!$B445="","",'Журнал'!$B445+'Журнал'!$C445+'Журнал'!$D445)</f>
      </c>
      <c r="F445">
        <f>IF('Журнал'!$E445="","",MAX(0,'План'!$B$2-'Журнал'!$E445))</f>
      </c>
    </row>
    <row r="446" spans="1:6" x14ac:dyDescent="0.25">
      <c r="A446">
        <v>445</v>
      </c>
      <c r="B446">
        <f>IF('Журнал'!$E445="","",'Журнал'!$E445)</f>
      </c>
      <c r="C446">
        <f>IF('Журнал'!$B446="","",'План'!$B$6)</f>
      </c>
      <c r="D446">
        <f>IF('Журнал'!$B446="","",('Журнал'!$B446+'Журнал'!$C446)*'План'!$B$9)</f>
      </c>
      <c r="E446">
        <f>IF('Журнал'!$B446="","",'Журнал'!$B446+'Журнал'!$C446+'Журнал'!$D446)</f>
      </c>
      <c r="F446">
        <f>IF('Журнал'!$E446="","",MAX(0,'План'!$B$2-'Журнал'!$E446))</f>
      </c>
    </row>
    <row r="447" spans="1:6" x14ac:dyDescent="0.25">
      <c r="A447">
        <v>446</v>
      </c>
      <c r="B447">
        <f>IF('Журнал'!$E446="","",'Журнал'!$E446)</f>
      </c>
      <c r="C447">
        <f>IF('Журнал'!$B447="","",'План'!$B$6)</f>
      </c>
      <c r="D447">
        <f>IF('Журнал'!$B447="","",('Журнал'!$B447+'Журнал'!$C447)*'План'!$B$9)</f>
      </c>
      <c r="E447">
        <f>IF('Журнал'!$B447="","",'Журнал'!$B447+'Журнал'!$C447+'Журнал'!$D447)</f>
      </c>
      <c r="F447">
        <f>IF('Журнал'!$E447="","",MAX(0,'План'!$B$2-'Журнал'!$E447))</f>
      </c>
    </row>
    <row r="448" spans="1:6" x14ac:dyDescent="0.25">
      <c r="A448">
        <v>447</v>
      </c>
      <c r="B448">
        <f>IF('Журнал'!$E447="","",'Журнал'!$E447)</f>
      </c>
      <c r="C448">
        <f>IF('Журнал'!$B448="","",'План'!$B$6)</f>
      </c>
      <c r="D448">
        <f>IF('Журнал'!$B448="","",('Журнал'!$B448+'Журнал'!$C448)*'План'!$B$9)</f>
      </c>
      <c r="E448">
        <f>IF('Журнал'!$B448="","",'Журнал'!$B448+'Журнал'!$C448+'Журнал'!$D448)</f>
      </c>
      <c r="F448">
        <f>IF('Журнал'!$E448="","",MAX(0,'План'!$B$2-'Журнал'!$E448))</f>
      </c>
    </row>
    <row r="449" spans="1:6" x14ac:dyDescent="0.25">
      <c r="A449">
        <v>448</v>
      </c>
      <c r="B449">
        <f>IF('Журнал'!$E448="","",'Журнал'!$E448)</f>
      </c>
      <c r="C449">
        <f>IF('Журнал'!$B449="","",'План'!$B$6)</f>
      </c>
      <c r="D449">
        <f>IF('Журнал'!$B449="","",('Журнал'!$B449+'Журнал'!$C449)*'План'!$B$9)</f>
      </c>
      <c r="E449">
        <f>IF('Журнал'!$B449="","",'Журнал'!$B449+'Журнал'!$C449+'Журнал'!$D449)</f>
      </c>
      <c r="F449">
        <f>IF('Журнал'!$E449="","",MAX(0,'План'!$B$2-'Журнал'!$E449))</f>
      </c>
    </row>
    <row r="450" spans="1:6" x14ac:dyDescent="0.25">
      <c r="A450">
        <v>449</v>
      </c>
      <c r="B450">
        <f>IF('Журнал'!$E449="","",'Журнал'!$E449)</f>
      </c>
      <c r="C450">
        <f>IF('Журнал'!$B450="","",'План'!$B$6)</f>
      </c>
      <c r="D450">
        <f>IF('Журнал'!$B450="","",('Журнал'!$B450+'Журнал'!$C450)*'План'!$B$9)</f>
      </c>
      <c r="E450">
        <f>IF('Журнал'!$B450="","",'Журнал'!$B450+'Журнал'!$C450+'Журнал'!$D450)</f>
      </c>
      <c r="F450">
        <f>IF('Журнал'!$E450="","",MAX(0,'План'!$B$2-'Журнал'!$E450))</f>
      </c>
    </row>
    <row r="451" spans="1:6" x14ac:dyDescent="0.25">
      <c r="A451">
        <v>450</v>
      </c>
      <c r="B451">
        <f>IF('Журнал'!$E450="","",'Журнал'!$E450)</f>
      </c>
      <c r="C451">
        <f>IF('Журнал'!$B451="","",'План'!$B$6)</f>
      </c>
      <c r="D451">
        <f>IF('Журнал'!$B451="","",('Журнал'!$B451+'Журнал'!$C451)*'План'!$B$9)</f>
      </c>
      <c r="E451">
        <f>IF('Журнал'!$B451="","",'Журнал'!$B451+'Журнал'!$C451+'Журнал'!$D451)</f>
      </c>
      <c r="F451">
        <f>IF('Журнал'!$E451="","",MAX(0,'План'!$B$2-'Журнал'!$E451))</f>
      </c>
    </row>
    <row r="452" spans="1:6" x14ac:dyDescent="0.25">
      <c r="A452">
        <v>451</v>
      </c>
      <c r="B452">
        <f>IF('Журнал'!$E451="","",'Журнал'!$E451)</f>
      </c>
      <c r="C452">
        <f>IF('Журнал'!$B452="","",'План'!$B$6)</f>
      </c>
      <c r="D452">
        <f>IF('Журнал'!$B452="","",('Журнал'!$B452+'Журнал'!$C452)*'План'!$B$9)</f>
      </c>
      <c r="E452">
        <f>IF('Журнал'!$B452="","",'Журнал'!$B452+'Журнал'!$C452+'Журнал'!$D452)</f>
      </c>
      <c r="F452">
        <f>IF('Журнал'!$E452="","",MAX(0,'План'!$B$2-'Журнал'!$E452))</f>
      </c>
    </row>
    <row r="453" spans="1:6" x14ac:dyDescent="0.25">
      <c r="A453">
        <v>452</v>
      </c>
      <c r="B453">
        <f>IF('Журнал'!$E452="","",'Журнал'!$E452)</f>
      </c>
      <c r="C453">
        <f>IF('Журнал'!$B453="","",'План'!$B$6)</f>
      </c>
      <c r="D453">
        <f>IF('Журнал'!$B453="","",('Журнал'!$B453+'Журнал'!$C453)*'План'!$B$9)</f>
      </c>
      <c r="E453">
        <f>IF('Журнал'!$B453="","",'Журнал'!$B453+'Журнал'!$C453+'Журнал'!$D453)</f>
      </c>
      <c r="F453">
        <f>IF('Журнал'!$E453="","",MAX(0,'План'!$B$2-'Журнал'!$E453))</f>
      </c>
    </row>
    <row r="454" spans="1:6" x14ac:dyDescent="0.25">
      <c r="A454">
        <v>453</v>
      </c>
      <c r="B454">
        <f>IF('Журнал'!$E453="","",'Журнал'!$E453)</f>
      </c>
      <c r="C454">
        <f>IF('Журнал'!$B454="","",'План'!$B$6)</f>
      </c>
      <c r="D454">
        <f>IF('Журнал'!$B454="","",('Журнал'!$B454+'Журнал'!$C454)*'План'!$B$9)</f>
      </c>
      <c r="E454">
        <f>IF('Журнал'!$B454="","",'Журнал'!$B454+'Журнал'!$C454+'Журнал'!$D454)</f>
      </c>
      <c r="F454">
        <f>IF('Журнал'!$E454="","",MAX(0,'План'!$B$2-'Журнал'!$E454))</f>
      </c>
    </row>
    <row r="455" spans="1:6" x14ac:dyDescent="0.25">
      <c r="A455">
        <v>454</v>
      </c>
      <c r="B455">
        <f>IF('Журнал'!$E454="","",'Журнал'!$E454)</f>
      </c>
      <c r="C455">
        <f>IF('Журнал'!$B455="","",'План'!$B$6)</f>
      </c>
      <c r="D455">
        <f>IF('Журнал'!$B455="","",('Журнал'!$B455+'Журнал'!$C455)*'План'!$B$9)</f>
      </c>
      <c r="E455">
        <f>IF('Журнал'!$B455="","",'Журнал'!$B455+'Журнал'!$C455+'Журнал'!$D455)</f>
      </c>
      <c r="F455">
        <f>IF('Журнал'!$E455="","",MAX(0,'План'!$B$2-'Журнал'!$E455))</f>
      </c>
    </row>
    <row r="456" spans="1:6" x14ac:dyDescent="0.25">
      <c r="A456">
        <v>455</v>
      </c>
      <c r="B456">
        <f>IF('Журнал'!$E455="","",'Журнал'!$E455)</f>
      </c>
      <c r="C456">
        <f>IF('Журнал'!$B456="","",'План'!$B$6)</f>
      </c>
      <c r="D456">
        <f>IF('Журнал'!$B456="","",('Журнал'!$B456+'Журнал'!$C456)*'План'!$B$9)</f>
      </c>
      <c r="E456">
        <f>IF('Журнал'!$B456="","",'Журнал'!$B456+'Журнал'!$C456+'Журнал'!$D456)</f>
      </c>
      <c r="F456">
        <f>IF('Журнал'!$E456="","",MAX(0,'План'!$B$2-'Журнал'!$E456))</f>
      </c>
    </row>
    <row r="457" spans="1:6" x14ac:dyDescent="0.25">
      <c r="A457">
        <v>456</v>
      </c>
      <c r="B457">
        <f>IF('Журнал'!$E456="","",'Журнал'!$E456)</f>
      </c>
      <c r="C457">
        <f>IF('Журнал'!$B457="","",'План'!$B$6)</f>
      </c>
      <c r="D457">
        <f>IF('Журнал'!$B457="","",('Журнал'!$B457+'Журнал'!$C457)*'План'!$B$9)</f>
      </c>
      <c r="E457">
        <f>IF('Журнал'!$B457="","",'Журнал'!$B457+'Журнал'!$C457+'Журнал'!$D457)</f>
      </c>
      <c r="F457">
        <f>IF('Журнал'!$E457="","",MAX(0,'План'!$B$2-'Журнал'!$E457))</f>
      </c>
    </row>
    <row r="458" spans="1:6" x14ac:dyDescent="0.25">
      <c r="A458">
        <v>457</v>
      </c>
      <c r="B458">
        <f>IF('Журнал'!$E457="","",'Журнал'!$E457)</f>
      </c>
      <c r="C458">
        <f>IF('Журнал'!$B458="","",'План'!$B$6)</f>
      </c>
      <c r="D458">
        <f>IF('Журнал'!$B458="","",('Журнал'!$B458+'Журнал'!$C458)*'План'!$B$9)</f>
      </c>
      <c r="E458">
        <f>IF('Журнал'!$B458="","",'Журнал'!$B458+'Журнал'!$C458+'Журнал'!$D458)</f>
      </c>
      <c r="F458">
        <f>IF('Журнал'!$E458="","",MAX(0,'План'!$B$2-'Журнал'!$E458))</f>
      </c>
    </row>
    <row r="459" spans="1:6" x14ac:dyDescent="0.25">
      <c r="A459">
        <v>458</v>
      </c>
      <c r="B459">
        <f>IF('Журнал'!$E458="","",'Журнал'!$E458)</f>
      </c>
      <c r="C459">
        <f>IF('Журнал'!$B459="","",'План'!$B$6)</f>
      </c>
      <c r="D459">
        <f>IF('Журнал'!$B459="","",('Журнал'!$B459+'Журнал'!$C459)*'План'!$B$9)</f>
      </c>
      <c r="E459">
        <f>IF('Журнал'!$B459="","",'Журнал'!$B459+'Журнал'!$C459+'Журнал'!$D459)</f>
      </c>
      <c r="F459">
        <f>IF('Журнал'!$E459="","",MAX(0,'План'!$B$2-'Журнал'!$E459))</f>
      </c>
    </row>
    <row r="460" spans="1:6" x14ac:dyDescent="0.25">
      <c r="A460">
        <v>459</v>
      </c>
      <c r="B460">
        <f>IF('Журнал'!$E459="","",'Журнал'!$E459)</f>
      </c>
      <c r="C460">
        <f>IF('Журнал'!$B460="","",'План'!$B$6)</f>
      </c>
      <c r="D460">
        <f>IF('Журнал'!$B460="","",('Журнал'!$B460+'Журнал'!$C460)*'План'!$B$9)</f>
      </c>
      <c r="E460">
        <f>IF('Журнал'!$B460="","",'Журнал'!$B460+'Журнал'!$C460+'Журнал'!$D460)</f>
      </c>
      <c r="F460">
        <f>IF('Журнал'!$E460="","",MAX(0,'План'!$B$2-'Журнал'!$E460))</f>
      </c>
    </row>
    <row r="461" spans="1:6" x14ac:dyDescent="0.25">
      <c r="A461">
        <v>460</v>
      </c>
      <c r="B461">
        <f>IF('Журнал'!$E460="","",'Журнал'!$E460)</f>
      </c>
      <c r="C461">
        <f>IF('Журнал'!$B461="","",'План'!$B$6)</f>
      </c>
      <c r="D461">
        <f>IF('Журнал'!$B461="","",('Журнал'!$B461+'Журнал'!$C461)*'План'!$B$9)</f>
      </c>
      <c r="E461">
        <f>IF('Журнал'!$B461="","",'Журнал'!$B461+'Журнал'!$C461+'Журнал'!$D461)</f>
      </c>
      <c r="F461">
        <f>IF('Журнал'!$E461="","",MAX(0,'План'!$B$2-'Журнал'!$E461))</f>
      </c>
    </row>
    <row r="462" spans="1:6" x14ac:dyDescent="0.25">
      <c r="A462">
        <v>461</v>
      </c>
      <c r="B462">
        <f>IF('Журнал'!$E461="","",'Журнал'!$E461)</f>
      </c>
      <c r="C462">
        <f>IF('Журнал'!$B462="","",'План'!$B$6)</f>
      </c>
      <c r="D462">
        <f>IF('Журнал'!$B462="","",('Журнал'!$B462+'Журнал'!$C462)*'План'!$B$9)</f>
      </c>
      <c r="E462">
        <f>IF('Журнал'!$B462="","",'Журнал'!$B462+'Журнал'!$C462+'Журнал'!$D462)</f>
      </c>
      <c r="F462">
        <f>IF('Журнал'!$E462="","",MAX(0,'План'!$B$2-'Журнал'!$E462))</f>
      </c>
    </row>
    <row r="463" spans="1:6" x14ac:dyDescent="0.25">
      <c r="A463">
        <v>462</v>
      </c>
      <c r="B463">
        <f>IF('Журнал'!$E462="","",'Журнал'!$E462)</f>
      </c>
      <c r="C463">
        <f>IF('Журнал'!$B463="","",'План'!$B$6)</f>
      </c>
      <c r="D463">
        <f>IF('Журнал'!$B463="","",('Журнал'!$B463+'Журнал'!$C463)*'План'!$B$9)</f>
      </c>
      <c r="E463">
        <f>IF('Журнал'!$B463="","",'Журнал'!$B463+'Журнал'!$C463+'Журнал'!$D463)</f>
      </c>
      <c r="F463">
        <f>IF('Журнал'!$E463="","",MAX(0,'План'!$B$2-'Журнал'!$E463))</f>
      </c>
    </row>
    <row r="464" spans="1:6" x14ac:dyDescent="0.25">
      <c r="A464">
        <v>463</v>
      </c>
      <c r="B464">
        <f>IF('Журнал'!$E463="","",'Журнал'!$E463)</f>
      </c>
      <c r="C464">
        <f>IF('Журнал'!$B464="","",'План'!$B$6)</f>
      </c>
      <c r="D464">
        <f>IF('Журнал'!$B464="","",('Журнал'!$B464+'Журнал'!$C464)*'План'!$B$9)</f>
      </c>
      <c r="E464">
        <f>IF('Журнал'!$B464="","",'Журнал'!$B464+'Журнал'!$C464+'Журнал'!$D464)</f>
      </c>
      <c r="F464">
        <f>IF('Журнал'!$E464="","",MAX(0,'План'!$B$2-'Журнал'!$E464))</f>
      </c>
    </row>
    <row r="465" spans="1:6" x14ac:dyDescent="0.25">
      <c r="A465">
        <v>464</v>
      </c>
      <c r="B465">
        <f>IF('Журнал'!$E464="","",'Журнал'!$E464)</f>
      </c>
      <c r="C465">
        <f>IF('Журнал'!$B465="","",'План'!$B$6)</f>
      </c>
      <c r="D465">
        <f>IF('Журнал'!$B465="","",('Журнал'!$B465+'Журнал'!$C465)*'План'!$B$9)</f>
      </c>
      <c r="E465">
        <f>IF('Журнал'!$B465="","",'Журнал'!$B465+'Журнал'!$C465+'Журнал'!$D465)</f>
      </c>
      <c r="F465">
        <f>IF('Журнал'!$E465="","",MAX(0,'План'!$B$2-'Журнал'!$E465))</f>
      </c>
    </row>
    <row r="466" spans="1:6" x14ac:dyDescent="0.25">
      <c r="A466">
        <v>465</v>
      </c>
      <c r="B466">
        <f>IF('Журнал'!$E465="","",'Журнал'!$E465)</f>
      </c>
      <c r="C466">
        <f>IF('Журнал'!$B466="","",'План'!$B$6)</f>
      </c>
      <c r="D466">
        <f>IF('Журнал'!$B466="","",('Журнал'!$B466+'Журнал'!$C466)*'План'!$B$9)</f>
      </c>
      <c r="E466">
        <f>IF('Журнал'!$B466="","",'Журнал'!$B466+'Журнал'!$C466+'Журнал'!$D466)</f>
      </c>
      <c r="F466">
        <f>IF('Журнал'!$E466="","",MAX(0,'План'!$B$2-'Журнал'!$E466))</f>
      </c>
    </row>
    <row r="467" spans="1:6" x14ac:dyDescent="0.25">
      <c r="A467">
        <v>466</v>
      </c>
      <c r="B467">
        <f>IF('Журнал'!$E466="","",'Журнал'!$E466)</f>
      </c>
      <c r="C467">
        <f>IF('Журнал'!$B467="","",'План'!$B$6)</f>
      </c>
      <c r="D467">
        <f>IF('Журнал'!$B467="","",('Журнал'!$B467+'Журнал'!$C467)*'План'!$B$9)</f>
      </c>
      <c r="E467">
        <f>IF('Журнал'!$B467="","",'Журнал'!$B467+'Журнал'!$C467+'Журнал'!$D467)</f>
      </c>
      <c r="F467">
        <f>IF('Журнал'!$E467="","",MAX(0,'План'!$B$2-'Журнал'!$E467))</f>
      </c>
    </row>
    <row r="468" spans="1:6" x14ac:dyDescent="0.25">
      <c r="A468">
        <v>467</v>
      </c>
      <c r="B468">
        <f>IF('Журнал'!$E467="","",'Журнал'!$E467)</f>
      </c>
      <c r="C468">
        <f>IF('Журнал'!$B468="","",'План'!$B$6)</f>
      </c>
      <c r="D468">
        <f>IF('Журнал'!$B468="","",('Журнал'!$B468+'Журнал'!$C468)*'План'!$B$9)</f>
      </c>
      <c r="E468">
        <f>IF('Журнал'!$B468="","",'Журнал'!$B468+'Журнал'!$C468+'Журнал'!$D468)</f>
      </c>
      <c r="F468">
        <f>IF('Журнал'!$E468="","",MAX(0,'План'!$B$2-'Журнал'!$E468))</f>
      </c>
    </row>
    <row r="469" spans="1:6" x14ac:dyDescent="0.25">
      <c r="A469">
        <v>468</v>
      </c>
      <c r="B469">
        <f>IF('Журнал'!$E468="","",'Журнал'!$E468)</f>
      </c>
      <c r="C469">
        <f>IF('Журнал'!$B469="","",'План'!$B$6)</f>
      </c>
      <c r="D469">
        <f>IF('Журнал'!$B469="","",('Журнал'!$B469+'Журнал'!$C469)*'План'!$B$9)</f>
      </c>
      <c r="E469">
        <f>IF('Журнал'!$B469="","",'Журнал'!$B469+'Журнал'!$C469+'Журнал'!$D469)</f>
      </c>
      <c r="F469">
        <f>IF('Журнал'!$E469="","",MAX(0,'План'!$B$2-'Журнал'!$E469))</f>
      </c>
    </row>
    <row r="470" spans="1:6" x14ac:dyDescent="0.25">
      <c r="A470">
        <v>469</v>
      </c>
      <c r="B470">
        <f>IF('Журнал'!$E469="","",'Журнал'!$E469)</f>
      </c>
      <c r="C470">
        <f>IF('Журнал'!$B470="","",'План'!$B$6)</f>
      </c>
      <c r="D470">
        <f>IF('Журнал'!$B470="","",('Журнал'!$B470+'Журнал'!$C470)*'План'!$B$9)</f>
      </c>
      <c r="E470">
        <f>IF('Журнал'!$B470="","",'Журнал'!$B470+'Журнал'!$C470+'Журнал'!$D470)</f>
      </c>
      <c r="F470">
        <f>IF('Журнал'!$E470="","",MAX(0,'План'!$B$2-'Журнал'!$E470))</f>
      </c>
    </row>
    <row r="471" spans="1:6" x14ac:dyDescent="0.25">
      <c r="A471">
        <v>470</v>
      </c>
      <c r="B471">
        <f>IF('Журнал'!$E470="","",'Журнал'!$E470)</f>
      </c>
      <c r="C471">
        <f>IF('Журнал'!$B471="","",'План'!$B$6)</f>
      </c>
      <c r="D471">
        <f>IF('Журнал'!$B471="","",('Журнал'!$B471+'Журнал'!$C471)*'План'!$B$9)</f>
      </c>
      <c r="E471">
        <f>IF('Журнал'!$B471="","",'Журнал'!$B471+'Журнал'!$C471+'Журнал'!$D471)</f>
      </c>
      <c r="F471">
        <f>IF('Журнал'!$E471="","",MAX(0,'План'!$B$2-'Журнал'!$E471))</f>
      </c>
    </row>
    <row r="472" spans="1:6" x14ac:dyDescent="0.25">
      <c r="A472">
        <v>471</v>
      </c>
      <c r="B472">
        <f>IF('Журнал'!$E471="","",'Журнал'!$E471)</f>
      </c>
      <c r="C472">
        <f>IF('Журнал'!$B472="","",'План'!$B$6)</f>
      </c>
      <c r="D472">
        <f>IF('Журнал'!$B472="","",('Журнал'!$B472+'Журнал'!$C472)*'План'!$B$9)</f>
      </c>
      <c r="E472">
        <f>IF('Журнал'!$B472="","",'Журнал'!$B472+'Журнал'!$C472+'Журнал'!$D472)</f>
      </c>
      <c r="F472">
        <f>IF('Журнал'!$E472="","",MAX(0,'План'!$B$2-'Журнал'!$E472))</f>
      </c>
    </row>
    <row r="473" spans="1:6" x14ac:dyDescent="0.25">
      <c r="A473">
        <v>472</v>
      </c>
      <c r="B473">
        <f>IF('Журнал'!$E472="","",'Журнал'!$E472)</f>
      </c>
      <c r="C473">
        <f>IF('Журнал'!$B473="","",'План'!$B$6)</f>
      </c>
      <c r="D473">
        <f>IF('Журнал'!$B473="","",('Журнал'!$B473+'Журнал'!$C473)*'План'!$B$9)</f>
      </c>
      <c r="E473">
        <f>IF('Журнал'!$B473="","",'Журнал'!$B473+'Журнал'!$C473+'Журнал'!$D473)</f>
      </c>
      <c r="F473">
        <f>IF('Журнал'!$E473="","",MAX(0,'План'!$B$2-'Журнал'!$E473))</f>
      </c>
    </row>
    <row r="474" spans="1:6" x14ac:dyDescent="0.25">
      <c r="A474">
        <v>473</v>
      </c>
      <c r="B474">
        <f>IF('Журнал'!$E473="","",'Журнал'!$E473)</f>
      </c>
      <c r="C474">
        <f>IF('Журнал'!$B474="","",'План'!$B$6)</f>
      </c>
      <c r="D474">
        <f>IF('Журнал'!$B474="","",('Журнал'!$B474+'Журнал'!$C474)*'План'!$B$9)</f>
      </c>
      <c r="E474">
        <f>IF('Журнал'!$B474="","",'Журнал'!$B474+'Журнал'!$C474+'Журнал'!$D474)</f>
      </c>
      <c r="F474">
        <f>IF('Журнал'!$E474="","",MAX(0,'План'!$B$2-'Журнал'!$E474))</f>
      </c>
    </row>
    <row r="475" spans="1:6" x14ac:dyDescent="0.25">
      <c r="A475">
        <v>474</v>
      </c>
      <c r="B475">
        <f>IF('Журнал'!$E474="","",'Журнал'!$E474)</f>
      </c>
      <c r="C475">
        <f>IF('Журнал'!$B475="","",'План'!$B$6)</f>
      </c>
      <c r="D475">
        <f>IF('Журнал'!$B475="","",('Журнал'!$B475+'Журнал'!$C475)*'План'!$B$9)</f>
      </c>
      <c r="E475">
        <f>IF('Журнал'!$B475="","",'Журнал'!$B475+'Журнал'!$C475+'Журнал'!$D475)</f>
      </c>
      <c r="F475">
        <f>IF('Журнал'!$E475="","",MAX(0,'План'!$B$2-'Журнал'!$E475))</f>
      </c>
    </row>
    <row r="476" spans="1:6" x14ac:dyDescent="0.25">
      <c r="A476">
        <v>475</v>
      </c>
      <c r="B476">
        <f>IF('Журнал'!$E475="","",'Журнал'!$E475)</f>
      </c>
      <c r="C476">
        <f>IF('Журнал'!$B476="","",'План'!$B$6)</f>
      </c>
      <c r="D476">
        <f>IF('Журнал'!$B476="","",('Журнал'!$B476+'Журнал'!$C476)*'План'!$B$9)</f>
      </c>
      <c r="E476">
        <f>IF('Журнал'!$B476="","",'Журнал'!$B476+'Журнал'!$C476+'Журнал'!$D476)</f>
      </c>
      <c r="F476">
        <f>IF('Журнал'!$E476="","",MAX(0,'План'!$B$2-'Журнал'!$E476))</f>
      </c>
    </row>
    <row r="477" spans="1:6" x14ac:dyDescent="0.25">
      <c r="A477">
        <v>476</v>
      </c>
      <c r="B477">
        <f>IF('Журнал'!$E476="","",'Журнал'!$E476)</f>
      </c>
      <c r="C477">
        <f>IF('Журнал'!$B477="","",'План'!$B$6)</f>
      </c>
      <c r="D477">
        <f>IF('Журнал'!$B477="","",('Журнал'!$B477+'Журнал'!$C477)*'План'!$B$9)</f>
      </c>
      <c r="E477">
        <f>IF('Журнал'!$B477="","",'Журнал'!$B477+'Журнал'!$C477+'Журнал'!$D477)</f>
      </c>
      <c r="F477">
        <f>IF('Журнал'!$E477="","",MAX(0,'План'!$B$2-'Журнал'!$E477))</f>
      </c>
    </row>
    <row r="478" spans="1:6" x14ac:dyDescent="0.25">
      <c r="A478">
        <v>477</v>
      </c>
      <c r="B478">
        <f>IF('Журнал'!$E477="","",'Журнал'!$E477)</f>
      </c>
      <c r="C478">
        <f>IF('Журнал'!$B478="","",'План'!$B$6)</f>
      </c>
      <c r="D478">
        <f>IF('Журнал'!$B478="","",('Журнал'!$B478+'Журнал'!$C478)*'План'!$B$9)</f>
      </c>
      <c r="E478">
        <f>IF('Журнал'!$B478="","",'Журнал'!$B478+'Журнал'!$C478+'Журнал'!$D478)</f>
      </c>
      <c r="F478">
        <f>IF('Журнал'!$E478="","",MAX(0,'План'!$B$2-'Журнал'!$E478))</f>
      </c>
    </row>
    <row r="479" spans="1:6" x14ac:dyDescent="0.25">
      <c r="A479">
        <v>478</v>
      </c>
      <c r="B479">
        <f>IF('Журнал'!$E478="","",'Журнал'!$E478)</f>
      </c>
      <c r="C479">
        <f>IF('Журнал'!$B479="","",'План'!$B$6)</f>
      </c>
      <c r="D479">
        <f>IF('Журнал'!$B479="","",('Журнал'!$B479+'Журнал'!$C479)*'План'!$B$9)</f>
      </c>
      <c r="E479">
        <f>IF('Журнал'!$B479="","",'Журнал'!$B479+'Журнал'!$C479+'Журнал'!$D479)</f>
      </c>
      <c r="F479">
        <f>IF('Журнал'!$E479="","",MAX(0,'План'!$B$2-'Журнал'!$E479))</f>
      </c>
    </row>
    <row r="480" spans="1:6" x14ac:dyDescent="0.25">
      <c r="A480">
        <v>479</v>
      </c>
      <c r="B480">
        <f>IF('Журнал'!$E479="","",'Журнал'!$E479)</f>
      </c>
      <c r="C480">
        <f>IF('Журнал'!$B480="","",'План'!$B$6)</f>
      </c>
      <c r="D480">
        <f>IF('Журнал'!$B480="","",('Журнал'!$B480+'Журнал'!$C480)*'План'!$B$9)</f>
      </c>
      <c r="E480">
        <f>IF('Журнал'!$B480="","",'Журнал'!$B480+'Журнал'!$C480+'Журнал'!$D480)</f>
      </c>
      <c r="F480">
        <f>IF('Журнал'!$E480="","",MAX(0,'План'!$B$2-'Журнал'!$E480))</f>
      </c>
    </row>
    <row r="481" spans="1:6" x14ac:dyDescent="0.25">
      <c r="A481">
        <v>480</v>
      </c>
      <c r="B481">
        <f>IF('Журнал'!$E480="","",'Журнал'!$E480)</f>
      </c>
      <c r="C481">
        <f>IF('Журнал'!$B481="","",'План'!$B$6)</f>
      </c>
      <c r="D481">
        <f>IF('Журнал'!$B481="","",('Журнал'!$B481+'Журнал'!$C481)*'План'!$B$9)</f>
      </c>
      <c r="E481">
        <f>IF('Журнал'!$B481="","",'Журнал'!$B481+'Журнал'!$C481+'Журнал'!$D481)</f>
      </c>
      <c r="F481">
        <f>IF('Журнал'!$E481="","",MAX(0,'План'!$B$2-'Журнал'!$E481))</f>
      </c>
    </row>
    <row r="482" spans="1:6" x14ac:dyDescent="0.25">
      <c r="A482">
        <v>481</v>
      </c>
      <c r="B482">
        <f>IF('Журнал'!$E481="","",'Журнал'!$E481)</f>
      </c>
      <c r="C482">
        <f>IF('Журнал'!$B482="","",'План'!$B$6)</f>
      </c>
      <c r="D482">
        <f>IF('Журнал'!$B482="","",('Журнал'!$B482+'Журнал'!$C482)*'План'!$B$9)</f>
      </c>
      <c r="E482">
        <f>IF('Журнал'!$B482="","",'Журнал'!$B482+'Журнал'!$C482+'Журнал'!$D482)</f>
      </c>
      <c r="F482">
        <f>IF('Журнал'!$E482="","",MAX(0,'План'!$B$2-'Журнал'!$E482))</f>
      </c>
    </row>
    <row r="483" spans="1:6" x14ac:dyDescent="0.25">
      <c r="A483">
        <v>482</v>
      </c>
      <c r="B483">
        <f>IF('Журнал'!$E482="","",'Журнал'!$E482)</f>
      </c>
      <c r="C483">
        <f>IF('Журнал'!$B483="","",'План'!$B$6)</f>
      </c>
      <c r="D483">
        <f>IF('Журнал'!$B483="","",('Журнал'!$B483+'Журнал'!$C483)*'План'!$B$9)</f>
      </c>
      <c r="E483">
        <f>IF('Журнал'!$B483="","",'Журнал'!$B483+'Журнал'!$C483+'Журнал'!$D483)</f>
      </c>
      <c r="F483">
        <f>IF('Журнал'!$E483="","",MAX(0,'План'!$B$2-'Журнал'!$E483))</f>
      </c>
    </row>
    <row r="484" spans="1:6" x14ac:dyDescent="0.25">
      <c r="A484">
        <v>483</v>
      </c>
      <c r="B484">
        <f>IF('Журнал'!$E483="","",'Журнал'!$E483)</f>
      </c>
      <c r="C484">
        <f>IF('Журнал'!$B484="","",'План'!$B$6)</f>
      </c>
      <c r="D484">
        <f>IF('Журнал'!$B484="","",('Журнал'!$B484+'Журнал'!$C484)*'План'!$B$9)</f>
      </c>
      <c r="E484">
        <f>IF('Журнал'!$B484="","",'Журнал'!$B484+'Журнал'!$C484+'Журнал'!$D484)</f>
      </c>
      <c r="F484">
        <f>IF('Журнал'!$E484="","",MAX(0,'План'!$B$2-'Журнал'!$E484))</f>
      </c>
    </row>
    <row r="485" spans="1:6" x14ac:dyDescent="0.25">
      <c r="A485">
        <v>484</v>
      </c>
      <c r="B485">
        <f>IF('Журнал'!$E484="","",'Журнал'!$E484)</f>
      </c>
      <c r="C485">
        <f>IF('Журнал'!$B485="","",'План'!$B$6)</f>
      </c>
      <c r="D485">
        <f>IF('Журнал'!$B485="","",('Журнал'!$B485+'Журнал'!$C485)*'План'!$B$9)</f>
      </c>
      <c r="E485">
        <f>IF('Журнал'!$B485="","",'Журнал'!$B485+'Журнал'!$C485+'Журнал'!$D485)</f>
      </c>
      <c r="F485">
        <f>IF('Журнал'!$E485="","",MAX(0,'План'!$B$2-'Журнал'!$E485))</f>
      </c>
    </row>
    <row r="486" spans="1:6" x14ac:dyDescent="0.25">
      <c r="A486">
        <v>485</v>
      </c>
      <c r="B486">
        <f>IF('Журнал'!$E485="","",'Журнал'!$E485)</f>
      </c>
      <c r="C486">
        <f>IF('Журнал'!$B486="","",'План'!$B$6)</f>
      </c>
      <c r="D486">
        <f>IF('Журнал'!$B486="","",('Журнал'!$B486+'Журнал'!$C486)*'План'!$B$9)</f>
      </c>
      <c r="E486">
        <f>IF('Журнал'!$B486="","",'Журнал'!$B486+'Журнал'!$C486+'Журнал'!$D486)</f>
      </c>
      <c r="F486">
        <f>IF('Журнал'!$E486="","",MAX(0,'План'!$B$2-'Журнал'!$E486))</f>
      </c>
    </row>
    <row r="487" spans="1:6" x14ac:dyDescent="0.25">
      <c r="A487">
        <v>486</v>
      </c>
      <c r="B487">
        <f>IF('Журнал'!$E486="","",'Журнал'!$E486)</f>
      </c>
      <c r="C487">
        <f>IF('Журнал'!$B487="","",'План'!$B$6)</f>
      </c>
      <c r="D487">
        <f>IF('Журнал'!$B487="","",('Журнал'!$B487+'Журнал'!$C487)*'План'!$B$9)</f>
      </c>
      <c r="E487">
        <f>IF('Журнал'!$B487="","",'Журнал'!$B487+'Журнал'!$C487+'Журнал'!$D487)</f>
      </c>
      <c r="F487">
        <f>IF('Журнал'!$E487="","",MAX(0,'План'!$B$2-'Журнал'!$E487))</f>
      </c>
    </row>
    <row r="488" spans="1:6" x14ac:dyDescent="0.25">
      <c r="A488">
        <v>487</v>
      </c>
      <c r="B488">
        <f>IF('Журнал'!$E487="","",'Журнал'!$E487)</f>
      </c>
      <c r="C488">
        <f>IF('Журнал'!$B488="","",'План'!$B$6)</f>
      </c>
      <c r="D488">
        <f>IF('Журнал'!$B488="","",('Журнал'!$B488+'Журнал'!$C488)*'План'!$B$9)</f>
      </c>
      <c r="E488">
        <f>IF('Журнал'!$B488="","",'Журнал'!$B488+'Журнал'!$C488+'Журнал'!$D488)</f>
      </c>
      <c r="F488">
        <f>IF('Журнал'!$E488="","",MAX(0,'План'!$B$2-'Журнал'!$E488))</f>
      </c>
    </row>
    <row r="489" spans="1:6" x14ac:dyDescent="0.25">
      <c r="A489">
        <v>488</v>
      </c>
      <c r="B489">
        <f>IF('Журнал'!$E488="","",'Журнал'!$E488)</f>
      </c>
      <c r="C489">
        <f>IF('Журнал'!$B489="","",'План'!$B$6)</f>
      </c>
      <c r="D489">
        <f>IF('Журнал'!$B489="","",('Журнал'!$B489+'Журнал'!$C489)*'План'!$B$9)</f>
      </c>
      <c r="E489">
        <f>IF('Журнал'!$B489="","",'Журнал'!$B489+'Журнал'!$C489+'Журнал'!$D489)</f>
      </c>
      <c r="F489">
        <f>IF('Журнал'!$E489="","",MAX(0,'План'!$B$2-'Журнал'!$E489))</f>
      </c>
    </row>
    <row r="490" spans="1:6" x14ac:dyDescent="0.25">
      <c r="A490">
        <v>489</v>
      </c>
      <c r="B490">
        <f>IF('Журнал'!$E489="","",'Журнал'!$E489)</f>
      </c>
      <c r="C490">
        <f>IF('Журнал'!$B490="","",'План'!$B$6)</f>
      </c>
      <c r="D490">
        <f>IF('Журнал'!$B490="","",('Журнал'!$B490+'Журнал'!$C490)*'План'!$B$9)</f>
      </c>
      <c r="E490">
        <f>IF('Журнал'!$B490="","",'Журнал'!$B490+'Журнал'!$C490+'Журнал'!$D490)</f>
      </c>
      <c r="F490">
        <f>IF('Журнал'!$E490="","",MAX(0,'План'!$B$2-'Журнал'!$E490))</f>
      </c>
    </row>
    <row r="491" spans="1:6" x14ac:dyDescent="0.25">
      <c r="A491">
        <v>490</v>
      </c>
      <c r="B491">
        <f>IF('Журнал'!$E490="","",'Журнал'!$E490)</f>
      </c>
      <c r="C491">
        <f>IF('Журнал'!$B491="","",'План'!$B$6)</f>
      </c>
      <c r="D491">
        <f>IF('Журнал'!$B491="","",('Журнал'!$B491+'Журнал'!$C491)*'План'!$B$9)</f>
      </c>
      <c r="E491">
        <f>IF('Журнал'!$B491="","",'Журнал'!$B491+'Журнал'!$C491+'Журнал'!$D491)</f>
      </c>
      <c r="F491">
        <f>IF('Журнал'!$E491="","",MAX(0,'План'!$B$2-'Журнал'!$E491))</f>
      </c>
    </row>
    <row r="492" spans="1:6" x14ac:dyDescent="0.25">
      <c r="A492">
        <v>491</v>
      </c>
      <c r="B492">
        <f>IF('Журнал'!$E491="","",'Журнал'!$E491)</f>
      </c>
      <c r="C492">
        <f>IF('Журнал'!$B492="","",'План'!$B$6)</f>
      </c>
      <c r="D492">
        <f>IF('Журнал'!$B492="","",('Журнал'!$B492+'Журнал'!$C492)*'План'!$B$9)</f>
      </c>
      <c r="E492">
        <f>IF('Журнал'!$B492="","",'Журнал'!$B492+'Журнал'!$C492+'Журнал'!$D492)</f>
      </c>
      <c r="F492">
        <f>IF('Журнал'!$E492="","",MAX(0,'План'!$B$2-'Журнал'!$E492))</f>
      </c>
    </row>
    <row r="493" spans="1:6" x14ac:dyDescent="0.25">
      <c r="A493">
        <v>492</v>
      </c>
      <c r="B493">
        <f>IF('Журнал'!$E492="","",'Журнал'!$E492)</f>
      </c>
      <c r="C493">
        <f>IF('Журнал'!$B493="","",'План'!$B$6)</f>
      </c>
      <c r="D493">
        <f>IF('Журнал'!$B493="","",('Журнал'!$B493+'Журнал'!$C493)*'План'!$B$9)</f>
      </c>
      <c r="E493">
        <f>IF('Журнал'!$B493="","",'Журнал'!$B493+'Журнал'!$C493+'Журнал'!$D493)</f>
      </c>
      <c r="F493">
        <f>IF('Журнал'!$E493="","",MAX(0,'План'!$B$2-'Журнал'!$E493))</f>
      </c>
    </row>
    <row r="494" spans="1:6" x14ac:dyDescent="0.25">
      <c r="A494">
        <v>493</v>
      </c>
      <c r="B494">
        <f>IF('Журнал'!$E493="","",'Журнал'!$E493)</f>
      </c>
      <c r="C494">
        <f>IF('Журнал'!$B494="","",'План'!$B$6)</f>
      </c>
      <c r="D494">
        <f>IF('Журнал'!$B494="","",('Журнал'!$B494+'Журнал'!$C494)*'План'!$B$9)</f>
      </c>
      <c r="E494">
        <f>IF('Журнал'!$B494="","",'Журнал'!$B494+'Журнал'!$C494+'Журнал'!$D494)</f>
      </c>
      <c r="F494">
        <f>IF('Журнал'!$E494="","",MAX(0,'План'!$B$2-'Журнал'!$E494))</f>
      </c>
    </row>
    <row r="495" spans="1:6" x14ac:dyDescent="0.25">
      <c r="A495">
        <v>494</v>
      </c>
      <c r="B495">
        <f>IF('Журнал'!$E494="","",'Журнал'!$E494)</f>
      </c>
      <c r="C495">
        <f>IF('Журнал'!$B495="","",'План'!$B$6)</f>
      </c>
      <c r="D495">
        <f>IF('Журнал'!$B495="","",('Журнал'!$B495+'Журнал'!$C495)*'План'!$B$9)</f>
      </c>
      <c r="E495">
        <f>IF('Журнал'!$B495="","",'Журнал'!$B495+'Журнал'!$C495+'Журнал'!$D495)</f>
      </c>
      <c r="F495">
        <f>IF('Журнал'!$E495="","",MAX(0,'План'!$B$2-'Журнал'!$E495))</f>
      </c>
    </row>
    <row r="496" spans="1:6" x14ac:dyDescent="0.25">
      <c r="A496">
        <v>495</v>
      </c>
      <c r="B496">
        <f>IF('Журнал'!$E495="","",'Журнал'!$E495)</f>
      </c>
      <c r="C496">
        <f>IF('Журнал'!$B496="","",'План'!$B$6)</f>
      </c>
      <c r="D496">
        <f>IF('Журнал'!$B496="","",('Журнал'!$B496+'Журнал'!$C496)*'План'!$B$9)</f>
      </c>
      <c r="E496">
        <f>IF('Журнал'!$B496="","",'Журнал'!$B496+'Журнал'!$C496+'Журнал'!$D496)</f>
      </c>
      <c r="F496">
        <f>IF('Журнал'!$E496="","",MAX(0,'План'!$B$2-'Журнал'!$E496))</f>
      </c>
    </row>
    <row r="497" spans="1:6" x14ac:dyDescent="0.25">
      <c r="A497">
        <v>496</v>
      </c>
      <c r="B497">
        <f>IF('Журнал'!$E496="","",'Журнал'!$E496)</f>
      </c>
      <c r="C497">
        <f>IF('Журнал'!$B497="","",'План'!$B$6)</f>
      </c>
      <c r="D497">
        <f>IF('Журнал'!$B497="","",('Журнал'!$B497+'Журнал'!$C497)*'План'!$B$9)</f>
      </c>
      <c r="E497">
        <f>IF('Журнал'!$B497="","",'Журнал'!$B497+'Журнал'!$C497+'Журнал'!$D497)</f>
      </c>
      <c r="F497">
        <f>IF('Журнал'!$E497="","",MAX(0,'План'!$B$2-'Журнал'!$E497))</f>
      </c>
    </row>
    <row r="498" spans="1:6" x14ac:dyDescent="0.25">
      <c r="A498">
        <v>497</v>
      </c>
      <c r="B498">
        <f>IF('Журнал'!$E497="","",'Журнал'!$E497)</f>
      </c>
      <c r="C498">
        <f>IF('Журнал'!$B498="","",'План'!$B$6)</f>
      </c>
      <c r="D498">
        <f>IF('Журнал'!$B498="","",('Журнал'!$B498+'Журнал'!$C498)*'План'!$B$9)</f>
      </c>
      <c r="E498">
        <f>IF('Журнал'!$B498="","",'Журнал'!$B498+'Журнал'!$C498+'Журнал'!$D498)</f>
      </c>
      <c r="F498">
        <f>IF('Журнал'!$E498="","",MAX(0,'План'!$B$2-'Журнал'!$E498))</f>
      </c>
    </row>
    <row r="499" spans="1:6" x14ac:dyDescent="0.25">
      <c r="A499">
        <v>498</v>
      </c>
      <c r="B499">
        <f>IF('Журнал'!$E498="","",'Журнал'!$E498)</f>
      </c>
      <c r="C499">
        <f>IF('Журнал'!$B499="","",'План'!$B$6)</f>
      </c>
      <c r="D499">
        <f>IF('Журнал'!$B499="","",('Журнал'!$B499+'Журнал'!$C499)*'План'!$B$9)</f>
      </c>
      <c r="E499">
        <f>IF('Журнал'!$B499="","",'Журнал'!$B499+'Журнал'!$C499+'Журнал'!$D499)</f>
      </c>
      <c r="F499">
        <f>IF('Журнал'!$E499="","",MAX(0,'План'!$B$2-'Журнал'!$E499))</f>
      </c>
    </row>
    <row r="500" spans="1:6" x14ac:dyDescent="0.25">
      <c r="A500">
        <v>499</v>
      </c>
      <c r="B500">
        <f>IF('Журнал'!$E499="","",'Журнал'!$E499)</f>
      </c>
      <c r="C500">
        <f>IF('Журнал'!$B500="","",'План'!$B$6)</f>
      </c>
      <c r="D500">
        <f>IF('Журнал'!$B500="","",('Журнал'!$B500+'Журнал'!$C500)*'План'!$B$9)</f>
      </c>
      <c r="E500">
        <f>IF('Журнал'!$B500="","",'Журнал'!$B500+'Журнал'!$C500+'Журнал'!$D500)</f>
      </c>
      <c r="F500">
        <f>IF('Журнал'!$E500="","",MAX(0,'План'!$B$2-'Журнал'!$E500))</f>
      </c>
    </row>
    <row r="501" spans="1:6" x14ac:dyDescent="0.25">
      <c r="A501">
        <v>500</v>
      </c>
      <c r="B501">
        <f>IF('Журнал'!$E500="","",'Журнал'!$E500)</f>
      </c>
      <c r="C501">
        <f>IF('Журнал'!$B501="","",'План'!$B$6)</f>
      </c>
      <c r="D501">
        <f>IF('Журнал'!$B501="","",('Журнал'!$B501+'Журнал'!$C501)*'План'!$B$9)</f>
      </c>
      <c r="E501">
        <f>IF('Журнал'!$B501="","",'Журнал'!$B501+'Журнал'!$C501+'Журнал'!$D501)</f>
      </c>
      <c r="F501">
        <f>IF('Журнал'!$E501="","",MAX(0,'План'!$B$2-'Журнал'!$E501))</f>
      </c>
    </row>
    <row r="502" spans="1:6" x14ac:dyDescent="0.25">
      <c r="A502">
        <v>501</v>
      </c>
      <c r="B502">
        <f>IF('Журнал'!$E501="","",'Журнал'!$E501)</f>
      </c>
      <c r="C502">
        <f>IF('Журнал'!$B502="","",'План'!$B$6)</f>
      </c>
      <c r="D502">
        <f>IF('Журнал'!$B502="","",('Журнал'!$B502+'Журнал'!$C502)*'План'!$B$9)</f>
      </c>
      <c r="E502">
        <f>IF('Журнал'!$B502="","",'Журнал'!$B502+'Журнал'!$C502+'Журнал'!$D502)</f>
      </c>
      <c r="F502">
        <f>IF('Журнал'!$E502="","",MAX(0,'План'!$B$2-'Журнал'!$E502))</f>
      </c>
    </row>
    <row r="503" spans="1:6" x14ac:dyDescent="0.25">
      <c r="A503">
        <v>502</v>
      </c>
      <c r="B503">
        <f>IF('Журнал'!$E502="","",'Журнал'!$E502)</f>
      </c>
      <c r="C503">
        <f>IF('Журнал'!$B503="","",'План'!$B$6)</f>
      </c>
      <c r="D503">
        <f>IF('Журнал'!$B503="","",('Журнал'!$B503+'Журнал'!$C503)*'План'!$B$9)</f>
      </c>
      <c r="E503">
        <f>IF('Журнал'!$B503="","",'Журнал'!$B503+'Журнал'!$C503+'Журнал'!$D503)</f>
      </c>
      <c r="F503">
        <f>IF('Журнал'!$E503="","",MAX(0,'План'!$B$2-'Журнал'!$E503))</f>
      </c>
    </row>
    <row r="504" spans="1:6" x14ac:dyDescent="0.25">
      <c r="A504">
        <v>503</v>
      </c>
      <c r="B504">
        <f>IF('Журнал'!$E503="","",'Журнал'!$E503)</f>
      </c>
      <c r="C504">
        <f>IF('Журнал'!$B504="","",'План'!$B$6)</f>
      </c>
      <c r="D504">
        <f>IF('Журнал'!$B504="","",('Журнал'!$B504+'Журнал'!$C504)*'План'!$B$9)</f>
      </c>
      <c r="E504">
        <f>IF('Журнал'!$B504="","",'Журнал'!$B504+'Журнал'!$C504+'Журнал'!$D504)</f>
      </c>
      <c r="F504">
        <f>IF('Журнал'!$E504="","",MAX(0,'План'!$B$2-'Журнал'!$E504))</f>
      </c>
    </row>
    <row r="505" spans="1:6" x14ac:dyDescent="0.25">
      <c r="A505">
        <v>504</v>
      </c>
      <c r="B505">
        <f>IF('Журнал'!$E504="","",'Журнал'!$E504)</f>
      </c>
      <c r="C505">
        <f>IF('Журнал'!$B505="","",'План'!$B$6)</f>
      </c>
      <c r="D505">
        <f>IF('Журнал'!$B505="","",('Журнал'!$B505+'Журнал'!$C505)*'План'!$B$9)</f>
      </c>
      <c r="E505">
        <f>IF('Журнал'!$B505="","",'Журнал'!$B505+'Журнал'!$C505+'Журнал'!$D505)</f>
      </c>
      <c r="F505">
        <f>IF('Журнал'!$E505="","",MAX(0,'План'!$B$2-'Журнал'!$E505))</f>
      </c>
    </row>
    <row r="506" spans="1:6" x14ac:dyDescent="0.25">
      <c r="A506">
        <v>505</v>
      </c>
      <c r="B506">
        <f>IF('Журнал'!$E505="","",'Журнал'!$E505)</f>
      </c>
      <c r="C506">
        <f>IF('Журнал'!$B506="","",'План'!$B$6)</f>
      </c>
      <c r="D506">
        <f>IF('Журнал'!$B506="","",('Журнал'!$B506+'Журнал'!$C506)*'План'!$B$9)</f>
      </c>
      <c r="E506">
        <f>IF('Журнал'!$B506="","",'Журнал'!$B506+'Журнал'!$C506+'Журнал'!$D506)</f>
      </c>
      <c r="F506">
        <f>IF('Журнал'!$E506="","",MAX(0,'План'!$B$2-'Журнал'!$E506))</f>
      </c>
    </row>
    <row r="507" spans="1:6" x14ac:dyDescent="0.25">
      <c r="A507">
        <v>506</v>
      </c>
      <c r="B507">
        <f>IF('Журнал'!$E506="","",'Журнал'!$E506)</f>
      </c>
      <c r="C507">
        <f>IF('Журнал'!$B507="","",'План'!$B$6)</f>
      </c>
      <c r="D507">
        <f>IF('Журнал'!$B507="","",('Журнал'!$B507+'Журнал'!$C507)*'План'!$B$9)</f>
      </c>
      <c r="E507">
        <f>IF('Журнал'!$B507="","",'Журнал'!$B507+'Журнал'!$C507+'Журнал'!$D507)</f>
      </c>
      <c r="F507">
        <f>IF('Журнал'!$E507="","",MAX(0,'План'!$B$2-'Журнал'!$E507))</f>
      </c>
    </row>
    <row r="508" spans="1:6" x14ac:dyDescent="0.25">
      <c r="A508">
        <v>507</v>
      </c>
      <c r="B508">
        <f>IF('Журнал'!$E507="","",'Журнал'!$E507)</f>
      </c>
      <c r="C508">
        <f>IF('Журнал'!$B508="","",'План'!$B$6)</f>
      </c>
      <c r="D508">
        <f>IF('Журнал'!$B508="","",('Журнал'!$B508+'Журнал'!$C508)*'План'!$B$9)</f>
      </c>
      <c r="E508">
        <f>IF('Журнал'!$B508="","",'Журнал'!$B508+'Журнал'!$C508+'Журнал'!$D508)</f>
      </c>
      <c r="F508">
        <f>IF('Журнал'!$E508="","",MAX(0,'План'!$B$2-'Журнал'!$E508))</f>
      </c>
    </row>
    <row r="509" spans="1:6" x14ac:dyDescent="0.25">
      <c r="A509">
        <v>508</v>
      </c>
      <c r="B509">
        <f>IF('Журнал'!$E508="","",'Журнал'!$E508)</f>
      </c>
      <c r="C509">
        <f>IF('Журнал'!$B509="","",'План'!$B$6)</f>
      </c>
      <c r="D509">
        <f>IF('Журнал'!$B509="","",('Журнал'!$B509+'Журнал'!$C509)*'План'!$B$9)</f>
      </c>
      <c r="E509">
        <f>IF('Журнал'!$B509="","",'Журнал'!$B509+'Журнал'!$C509+'Журнал'!$D509)</f>
      </c>
      <c r="F509">
        <f>IF('Журнал'!$E509="","",MAX(0,'План'!$B$2-'Журнал'!$E509))</f>
      </c>
    </row>
    <row r="510" spans="1:6" x14ac:dyDescent="0.25">
      <c r="A510">
        <v>509</v>
      </c>
      <c r="B510">
        <f>IF('Журнал'!$E509="","",'Журнал'!$E509)</f>
      </c>
      <c r="C510">
        <f>IF('Журнал'!$B510="","",'План'!$B$6)</f>
      </c>
      <c r="D510">
        <f>IF('Журнал'!$B510="","",('Журнал'!$B510+'Журнал'!$C510)*'План'!$B$9)</f>
      </c>
      <c r="E510">
        <f>IF('Журнал'!$B510="","",'Журнал'!$B510+'Журнал'!$C510+'Журнал'!$D510)</f>
      </c>
      <c r="F510">
        <f>IF('Журнал'!$E510="","",MAX(0,'План'!$B$2-'Журнал'!$E510))</f>
      </c>
    </row>
    <row r="511" spans="1:6" x14ac:dyDescent="0.25">
      <c r="A511">
        <v>510</v>
      </c>
      <c r="B511">
        <f>IF('Журнал'!$E510="","",'Журнал'!$E510)</f>
      </c>
      <c r="C511">
        <f>IF('Журнал'!$B511="","",'План'!$B$6)</f>
      </c>
      <c r="D511">
        <f>IF('Журнал'!$B511="","",('Журнал'!$B511+'Журнал'!$C511)*'План'!$B$9)</f>
      </c>
      <c r="E511">
        <f>IF('Журнал'!$B511="","",'Журнал'!$B511+'Журнал'!$C511+'Журнал'!$D511)</f>
      </c>
      <c r="F511">
        <f>IF('Журнал'!$E511="","",MAX(0,'План'!$B$2-'Журнал'!$E511))</f>
      </c>
    </row>
    <row r="512" spans="1:6" x14ac:dyDescent="0.25">
      <c r="A512">
        <v>511</v>
      </c>
      <c r="B512">
        <f>IF('Журнал'!$E511="","",'Журнал'!$E511)</f>
      </c>
      <c r="C512">
        <f>IF('Журнал'!$B512="","",'План'!$B$6)</f>
      </c>
      <c r="D512">
        <f>IF('Журнал'!$B512="","",('Журнал'!$B512+'Журнал'!$C512)*'План'!$B$9)</f>
      </c>
      <c r="E512">
        <f>IF('Журнал'!$B512="","",'Журнал'!$B512+'Журнал'!$C512+'Журнал'!$D512)</f>
      </c>
      <c r="F512">
        <f>IF('Журнал'!$E512="","",MAX(0,'План'!$B$2-'Журнал'!$E512))</f>
      </c>
    </row>
    <row r="513" spans="1:6" x14ac:dyDescent="0.25">
      <c r="A513">
        <v>512</v>
      </c>
      <c r="B513">
        <f>IF('Журнал'!$E512="","",'Журнал'!$E512)</f>
      </c>
      <c r="C513">
        <f>IF('Журнал'!$B513="","",'План'!$B$6)</f>
      </c>
      <c r="D513">
        <f>IF('Журнал'!$B513="","",('Журнал'!$B513+'Журнал'!$C513)*'План'!$B$9)</f>
      </c>
      <c r="E513">
        <f>IF('Журнал'!$B513="","",'Журнал'!$B513+'Журнал'!$C513+'Журнал'!$D513)</f>
      </c>
      <c r="F513">
        <f>IF('Журнал'!$E513="","",MAX(0,'План'!$B$2-'Журнал'!$E513))</f>
      </c>
    </row>
    <row r="514" spans="1:6" x14ac:dyDescent="0.25">
      <c r="A514">
        <v>513</v>
      </c>
      <c r="B514">
        <f>IF('Журнал'!$E513="","",'Журнал'!$E513)</f>
      </c>
      <c r="C514">
        <f>IF('Журнал'!$B514="","",'План'!$B$6)</f>
      </c>
      <c r="D514">
        <f>IF('Журнал'!$B514="","",('Журнал'!$B514+'Журнал'!$C514)*'План'!$B$9)</f>
      </c>
      <c r="E514">
        <f>IF('Журнал'!$B514="","",'Журнал'!$B514+'Журнал'!$C514+'Журнал'!$D514)</f>
      </c>
      <c r="F514">
        <f>IF('Журнал'!$E514="","",MAX(0,'План'!$B$2-'Журнал'!$E514))</f>
      </c>
    </row>
    <row r="515" spans="1:6" x14ac:dyDescent="0.25">
      <c r="A515">
        <v>514</v>
      </c>
      <c r="B515">
        <f>IF('Журнал'!$E514="","",'Журнал'!$E514)</f>
      </c>
      <c r="C515">
        <f>IF('Журнал'!$B515="","",'План'!$B$6)</f>
      </c>
      <c r="D515">
        <f>IF('Журнал'!$B515="","",('Журнал'!$B515+'Журнал'!$C515)*'План'!$B$9)</f>
      </c>
      <c r="E515">
        <f>IF('Журнал'!$B515="","",'Журнал'!$B515+'Журнал'!$C515+'Журнал'!$D515)</f>
      </c>
      <c r="F515">
        <f>IF('Журнал'!$E515="","",MAX(0,'План'!$B$2-'Журнал'!$E515))</f>
      </c>
    </row>
    <row r="516" spans="1:6" x14ac:dyDescent="0.25">
      <c r="A516">
        <v>515</v>
      </c>
      <c r="B516">
        <f>IF('Журнал'!$E515="","",'Журнал'!$E515)</f>
      </c>
      <c r="C516">
        <f>IF('Журнал'!$B516="","",'План'!$B$6)</f>
      </c>
      <c r="D516">
        <f>IF('Журнал'!$B516="","",('Журнал'!$B516+'Журнал'!$C516)*'План'!$B$9)</f>
      </c>
      <c r="E516">
        <f>IF('Журнал'!$B516="","",'Журнал'!$B516+'Журнал'!$C516+'Журнал'!$D516)</f>
      </c>
      <c r="F516">
        <f>IF('Журнал'!$E516="","",MAX(0,'План'!$B$2-'Журнал'!$E516))</f>
      </c>
    </row>
    <row r="517" spans="1:6" x14ac:dyDescent="0.25">
      <c r="A517">
        <v>516</v>
      </c>
      <c r="B517">
        <f>IF('Журнал'!$E516="","",'Журнал'!$E516)</f>
      </c>
      <c r="C517">
        <f>IF('Журнал'!$B517="","",'План'!$B$6)</f>
      </c>
      <c r="D517">
        <f>IF('Журнал'!$B517="","",('Журнал'!$B517+'Журнал'!$C517)*'План'!$B$9)</f>
      </c>
      <c r="E517">
        <f>IF('Журнал'!$B517="","",'Журнал'!$B517+'Журнал'!$C517+'Журнал'!$D517)</f>
      </c>
      <c r="F517">
        <f>IF('Журнал'!$E517="","",MAX(0,'План'!$B$2-'Журнал'!$E517))</f>
      </c>
    </row>
    <row r="518" spans="1:6" x14ac:dyDescent="0.25">
      <c r="A518">
        <v>517</v>
      </c>
      <c r="B518">
        <f>IF('Журнал'!$E517="","",'Журнал'!$E517)</f>
      </c>
      <c r="C518">
        <f>IF('Журнал'!$B518="","",'План'!$B$6)</f>
      </c>
      <c r="D518">
        <f>IF('Журнал'!$B518="","",('Журнал'!$B518+'Журнал'!$C518)*'План'!$B$9)</f>
      </c>
      <c r="E518">
        <f>IF('Журнал'!$B518="","",'Журнал'!$B518+'Журнал'!$C518+'Журнал'!$D518)</f>
      </c>
      <c r="F518">
        <f>IF('Журнал'!$E518="","",MAX(0,'План'!$B$2-'Журнал'!$E518))</f>
      </c>
    </row>
    <row r="519" spans="1:6" x14ac:dyDescent="0.25">
      <c r="A519">
        <v>518</v>
      </c>
      <c r="B519">
        <f>IF('Журнал'!$E518="","",'Журнал'!$E518)</f>
      </c>
      <c r="C519">
        <f>IF('Журнал'!$B519="","",'План'!$B$6)</f>
      </c>
      <c r="D519">
        <f>IF('Журнал'!$B519="","",('Журнал'!$B519+'Журнал'!$C519)*'План'!$B$9)</f>
      </c>
      <c r="E519">
        <f>IF('Журнал'!$B519="","",'Журнал'!$B519+'Журнал'!$C519+'Журнал'!$D519)</f>
      </c>
      <c r="F519">
        <f>IF('Журнал'!$E519="","",MAX(0,'План'!$B$2-'Журнал'!$E519))</f>
      </c>
    </row>
    <row r="520" spans="1:6" x14ac:dyDescent="0.25">
      <c r="A520">
        <v>519</v>
      </c>
      <c r="B520">
        <f>IF('Журнал'!$E519="","",'Журнал'!$E519)</f>
      </c>
      <c r="C520">
        <f>IF('Журнал'!$B520="","",'План'!$B$6)</f>
      </c>
      <c r="D520">
        <f>IF('Журнал'!$B520="","",('Журнал'!$B520+'Журнал'!$C520)*'План'!$B$9)</f>
      </c>
      <c r="E520">
        <f>IF('Журнал'!$B520="","",'Журнал'!$B520+'Журнал'!$C520+'Журнал'!$D520)</f>
      </c>
      <c r="F520">
        <f>IF('Журнал'!$E520="","",MAX(0,'План'!$B$2-'Журнал'!$E520))</f>
      </c>
    </row>
    <row r="521" spans="1:6" x14ac:dyDescent="0.25">
      <c r="A521">
        <v>520</v>
      </c>
      <c r="B521">
        <f>IF('Журнал'!$E520="","",'Журнал'!$E520)</f>
      </c>
      <c r="C521">
        <f>IF('Журнал'!$B521="","",'План'!$B$6)</f>
      </c>
      <c r="D521">
        <f>IF('Журнал'!$B521="","",('Журнал'!$B521+'Журнал'!$C521)*'План'!$B$9)</f>
      </c>
      <c r="E521">
        <f>IF('Журнал'!$B521="","",'Журнал'!$B521+'Журнал'!$C521+'Журнал'!$D521)</f>
      </c>
      <c r="F521">
        <f>IF('Журнал'!$E521="","",MAX(0,'План'!$B$2-'Журнал'!$E521))</f>
      </c>
    </row>
    <row r="522" spans="1:6" x14ac:dyDescent="0.25">
      <c r="A522">
        <v>521</v>
      </c>
      <c r="B522">
        <f>IF('Журнал'!$E521="","",'Журнал'!$E521)</f>
      </c>
      <c r="C522">
        <f>IF('Журнал'!$B522="","",'План'!$B$6)</f>
      </c>
      <c r="D522">
        <f>IF('Журнал'!$B522="","",('Журнал'!$B522+'Журнал'!$C522)*'План'!$B$9)</f>
      </c>
      <c r="E522">
        <f>IF('Журнал'!$B522="","",'Журнал'!$B522+'Журнал'!$C522+'Журнал'!$D522)</f>
      </c>
      <c r="F522">
        <f>IF('Журнал'!$E522="","",MAX(0,'План'!$B$2-'Журнал'!$E522))</f>
      </c>
    </row>
    <row r="523" spans="1:6" x14ac:dyDescent="0.25">
      <c r="A523">
        <v>522</v>
      </c>
      <c r="B523">
        <f>IF('Журнал'!$E522="","",'Журнал'!$E522)</f>
      </c>
      <c r="C523">
        <f>IF('Журнал'!$B523="","",'План'!$B$6)</f>
      </c>
      <c r="D523">
        <f>IF('Журнал'!$B523="","",('Журнал'!$B523+'Журнал'!$C523)*'План'!$B$9)</f>
      </c>
      <c r="E523">
        <f>IF('Журнал'!$B523="","",'Журнал'!$B523+'Журнал'!$C523+'Журнал'!$D523)</f>
      </c>
      <c r="F523">
        <f>IF('Журнал'!$E523="","",MAX(0,'План'!$B$2-'Журнал'!$E523))</f>
      </c>
    </row>
    <row r="524" spans="1:6" x14ac:dyDescent="0.25">
      <c r="A524">
        <v>523</v>
      </c>
      <c r="B524">
        <f>IF('Журнал'!$E523="","",'Журнал'!$E523)</f>
      </c>
      <c r="C524">
        <f>IF('Журнал'!$B524="","",'План'!$B$6)</f>
      </c>
      <c r="D524">
        <f>IF('Журнал'!$B524="","",('Журнал'!$B524+'Журнал'!$C524)*'План'!$B$9)</f>
      </c>
      <c r="E524">
        <f>IF('Журнал'!$B524="","",'Журнал'!$B524+'Журнал'!$C524+'Журнал'!$D524)</f>
      </c>
      <c r="F524">
        <f>IF('Журнал'!$E524="","",MAX(0,'План'!$B$2-'Журнал'!$E524))</f>
      </c>
    </row>
    <row r="525" spans="1:6" x14ac:dyDescent="0.25">
      <c r="A525">
        <v>524</v>
      </c>
      <c r="B525">
        <f>IF('Журнал'!$E524="","",'Журнал'!$E524)</f>
      </c>
      <c r="C525">
        <f>IF('Журнал'!$B525="","",'План'!$B$6)</f>
      </c>
      <c r="D525">
        <f>IF('Журнал'!$B525="","",('Журнал'!$B525+'Журнал'!$C525)*'План'!$B$9)</f>
      </c>
      <c r="E525">
        <f>IF('Журнал'!$B525="","",'Журнал'!$B525+'Журнал'!$C525+'Журнал'!$D525)</f>
      </c>
      <c r="F525">
        <f>IF('Журнал'!$E525="","",MAX(0,'План'!$B$2-'Журнал'!$E525))</f>
      </c>
    </row>
    <row r="526" spans="1:6" x14ac:dyDescent="0.25">
      <c r="A526">
        <v>525</v>
      </c>
      <c r="B526">
        <f>IF('Журнал'!$E525="","",'Журнал'!$E525)</f>
      </c>
      <c r="C526">
        <f>IF('Журнал'!$B526="","",'План'!$B$6)</f>
      </c>
      <c r="D526">
        <f>IF('Журнал'!$B526="","",('Журнал'!$B526+'Журнал'!$C526)*'План'!$B$9)</f>
      </c>
      <c r="E526">
        <f>IF('Журнал'!$B526="","",'Журнал'!$B526+'Журнал'!$C526+'Журнал'!$D526)</f>
      </c>
      <c r="F526">
        <f>IF('Журнал'!$E526="","",MAX(0,'План'!$B$2-'Журнал'!$E526))</f>
      </c>
    </row>
    <row r="527" spans="1:6" x14ac:dyDescent="0.25">
      <c r="A527">
        <v>526</v>
      </c>
      <c r="B527">
        <f>IF('Журнал'!$E526="","",'Журнал'!$E526)</f>
      </c>
      <c r="C527">
        <f>IF('Журнал'!$B527="","",'План'!$B$6)</f>
      </c>
      <c r="D527">
        <f>IF('Журнал'!$B527="","",('Журнал'!$B527+'Журнал'!$C527)*'План'!$B$9)</f>
      </c>
      <c r="E527">
        <f>IF('Журнал'!$B527="","",'Журнал'!$B527+'Журнал'!$C527+'Журнал'!$D527)</f>
      </c>
      <c r="F527">
        <f>IF('Журнал'!$E527="","",MAX(0,'План'!$B$2-'Журнал'!$E527))</f>
      </c>
    </row>
    <row r="528" spans="1:6" x14ac:dyDescent="0.25">
      <c r="A528">
        <v>527</v>
      </c>
      <c r="B528">
        <f>IF('Журнал'!$E527="","",'Журнал'!$E527)</f>
      </c>
      <c r="C528">
        <f>IF('Журнал'!$B528="","",'План'!$B$6)</f>
      </c>
      <c r="D528">
        <f>IF('Журнал'!$B528="","",('Журнал'!$B528+'Журнал'!$C528)*'План'!$B$9)</f>
      </c>
      <c r="E528">
        <f>IF('Журнал'!$B528="","",'Журнал'!$B528+'Журнал'!$C528+'Журнал'!$D528)</f>
      </c>
      <c r="F528">
        <f>IF('Журнал'!$E528="","",MAX(0,'План'!$B$2-'Журнал'!$E528))</f>
      </c>
    </row>
    <row r="529" spans="1:6" x14ac:dyDescent="0.25">
      <c r="A529">
        <v>528</v>
      </c>
      <c r="B529">
        <f>IF('Журнал'!$E528="","",'Журнал'!$E528)</f>
      </c>
      <c r="C529">
        <f>IF('Журнал'!$B529="","",'План'!$B$6)</f>
      </c>
      <c r="D529">
        <f>IF('Журнал'!$B529="","",('Журнал'!$B529+'Журнал'!$C529)*'План'!$B$9)</f>
      </c>
      <c r="E529">
        <f>IF('Журнал'!$B529="","",'Журнал'!$B529+'Журнал'!$C529+'Журнал'!$D529)</f>
      </c>
      <c r="F529">
        <f>IF('Журнал'!$E529="","",MAX(0,'План'!$B$2-'Журнал'!$E529))</f>
      </c>
    </row>
    <row r="530" spans="1:6" x14ac:dyDescent="0.25">
      <c r="A530">
        <v>529</v>
      </c>
      <c r="B530">
        <f>IF('Журнал'!$E529="","",'Журнал'!$E529)</f>
      </c>
      <c r="C530">
        <f>IF('Журнал'!$B530="","",'План'!$B$6)</f>
      </c>
      <c r="D530">
        <f>IF('Журнал'!$B530="","",('Журнал'!$B530+'Журнал'!$C530)*'План'!$B$9)</f>
      </c>
      <c r="E530">
        <f>IF('Журнал'!$B530="","",'Журнал'!$B530+'Журнал'!$C530+'Журнал'!$D530)</f>
      </c>
      <c r="F530">
        <f>IF('Журнал'!$E530="","",MAX(0,'План'!$B$2-'Журнал'!$E530))</f>
      </c>
    </row>
    <row r="531" spans="1:6" x14ac:dyDescent="0.25">
      <c r="A531">
        <v>530</v>
      </c>
      <c r="B531">
        <f>IF('Журнал'!$E530="","",'Журнал'!$E530)</f>
      </c>
      <c r="C531">
        <f>IF('Журнал'!$B531="","",'План'!$B$6)</f>
      </c>
      <c r="D531">
        <f>IF('Журнал'!$B531="","",('Журнал'!$B531+'Журнал'!$C531)*'План'!$B$9)</f>
      </c>
      <c r="E531">
        <f>IF('Журнал'!$B531="","",'Журнал'!$B531+'Журнал'!$C531+'Журнал'!$D531)</f>
      </c>
      <c r="F531">
        <f>IF('Журнал'!$E531="","",MAX(0,'План'!$B$2-'Журнал'!$E531))</f>
      </c>
    </row>
    <row r="532" spans="1:6" x14ac:dyDescent="0.25">
      <c r="A532">
        <v>531</v>
      </c>
      <c r="B532">
        <f>IF('Журнал'!$E531="","",'Журнал'!$E531)</f>
      </c>
      <c r="C532">
        <f>IF('Журнал'!$B532="","",'План'!$B$6)</f>
      </c>
      <c r="D532">
        <f>IF('Журнал'!$B532="","",('Журнал'!$B532+'Журнал'!$C532)*'План'!$B$9)</f>
      </c>
      <c r="E532">
        <f>IF('Журнал'!$B532="","",'Журнал'!$B532+'Журнал'!$C532+'Журнал'!$D532)</f>
      </c>
      <c r="F532">
        <f>IF('Журнал'!$E532="","",MAX(0,'План'!$B$2-'Журнал'!$E532))</f>
      </c>
    </row>
    <row r="533" spans="1:6" x14ac:dyDescent="0.25">
      <c r="A533">
        <v>532</v>
      </c>
      <c r="B533">
        <f>IF('Журнал'!$E532="","",'Журнал'!$E532)</f>
      </c>
      <c r="C533">
        <f>IF('Журнал'!$B533="","",'План'!$B$6)</f>
      </c>
      <c r="D533">
        <f>IF('Журнал'!$B533="","",('Журнал'!$B533+'Журнал'!$C533)*'План'!$B$9)</f>
      </c>
      <c r="E533">
        <f>IF('Журнал'!$B533="","",'Журнал'!$B533+'Журнал'!$C533+'Журнал'!$D533)</f>
      </c>
      <c r="F533">
        <f>IF('Журнал'!$E533="","",MAX(0,'План'!$B$2-'Журнал'!$E533))</f>
      </c>
    </row>
    <row r="534" spans="1:6" x14ac:dyDescent="0.25">
      <c r="A534">
        <v>533</v>
      </c>
      <c r="B534">
        <f>IF('Журнал'!$E533="","",'Журнал'!$E533)</f>
      </c>
      <c r="C534">
        <f>IF('Журнал'!$B534="","",'План'!$B$6)</f>
      </c>
      <c r="D534">
        <f>IF('Журнал'!$B534="","",('Журнал'!$B534+'Журнал'!$C534)*'План'!$B$9)</f>
      </c>
      <c r="E534">
        <f>IF('Журнал'!$B534="","",'Журнал'!$B534+'Журнал'!$C534+'Журнал'!$D534)</f>
      </c>
      <c r="F534">
        <f>IF('Журнал'!$E534="","",MAX(0,'План'!$B$2-'Журнал'!$E534))</f>
      </c>
    </row>
    <row r="535" spans="1:6" x14ac:dyDescent="0.25">
      <c r="A535">
        <v>534</v>
      </c>
      <c r="B535">
        <f>IF('Журнал'!$E534="","",'Журнал'!$E534)</f>
      </c>
      <c r="C535">
        <f>IF('Журнал'!$B535="","",'План'!$B$6)</f>
      </c>
      <c r="D535">
        <f>IF('Журнал'!$B535="","",('Журнал'!$B535+'Журнал'!$C535)*'План'!$B$9)</f>
      </c>
      <c r="E535">
        <f>IF('Журнал'!$B535="","",'Журнал'!$B535+'Журнал'!$C535+'Журнал'!$D535)</f>
      </c>
      <c r="F535">
        <f>IF('Журнал'!$E535="","",MAX(0,'План'!$B$2-'Журнал'!$E535))</f>
      </c>
    </row>
    <row r="536" spans="1:6" x14ac:dyDescent="0.25">
      <c r="A536">
        <v>535</v>
      </c>
      <c r="B536">
        <f>IF('Журнал'!$E535="","",'Журнал'!$E535)</f>
      </c>
      <c r="C536">
        <f>IF('Журнал'!$B536="","",'План'!$B$6)</f>
      </c>
      <c r="D536">
        <f>IF('Журнал'!$B536="","",('Журнал'!$B536+'Журнал'!$C536)*'План'!$B$9)</f>
      </c>
      <c r="E536">
        <f>IF('Журнал'!$B536="","",'Журнал'!$B536+'Журнал'!$C536+'Журнал'!$D536)</f>
      </c>
      <c r="F536">
        <f>IF('Журнал'!$E536="","",MAX(0,'План'!$B$2-'Журнал'!$E536))</f>
      </c>
    </row>
    <row r="537" spans="1:6" x14ac:dyDescent="0.25">
      <c r="A537">
        <v>536</v>
      </c>
      <c r="B537">
        <f>IF('Журнал'!$E536="","",'Журнал'!$E536)</f>
      </c>
      <c r="C537">
        <f>IF('Журнал'!$B537="","",'План'!$B$6)</f>
      </c>
      <c r="D537">
        <f>IF('Журнал'!$B537="","",('Журнал'!$B537+'Журнал'!$C537)*'План'!$B$9)</f>
      </c>
      <c r="E537">
        <f>IF('Журнал'!$B537="","",'Журнал'!$B537+'Журнал'!$C537+'Журнал'!$D537)</f>
      </c>
      <c r="F537">
        <f>IF('Журнал'!$E537="","",MAX(0,'План'!$B$2-'Журнал'!$E537))</f>
      </c>
    </row>
    <row r="538" spans="1:6" x14ac:dyDescent="0.25">
      <c r="A538">
        <v>537</v>
      </c>
      <c r="B538">
        <f>IF('Журнал'!$E537="","",'Журнал'!$E537)</f>
      </c>
      <c r="C538">
        <f>IF('Журнал'!$B538="","",'План'!$B$6)</f>
      </c>
      <c r="D538">
        <f>IF('Журнал'!$B538="","",('Журнал'!$B538+'Журнал'!$C538)*'План'!$B$9)</f>
      </c>
      <c r="E538">
        <f>IF('Журнал'!$B538="","",'Журнал'!$B538+'Журнал'!$C538+'Журнал'!$D538)</f>
      </c>
      <c r="F538">
        <f>IF('Журнал'!$E538="","",MAX(0,'План'!$B$2-'Журнал'!$E538))</f>
      </c>
    </row>
    <row r="539" spans="1:6" x14ac:dyDescent="0.25">
      <c r="A539">
        <v>538</v>
      </c>
      <c r="B539">
        <f>IF('Журнал'!$E538="","",'Журнал'!$E538)</f>
      </c>
      <c r="C539">
        <f>IF('Журнал'!$B539="","",'План'!$B$6)</f>
      </c>
      <c r="D539">
        <f>IF('Журнал'!$B539="","",('Журнал'!$B539+'Журнал'!$C539)*'План'!$B$9)</f>
      </c>
      <c r="E539">
        <f>IF('Журнал'!$B539="","",'Журнал'!$B539+'Журнал'!$C539+'Журнал'!$D539)</f>
      </c>
      <c r="F539">
        <f>IF('Журнал'!$E539="","",MAX(0,'План'!$B$2-'Журнал'!$E539))</f>
      </c>
    </row>
    <row r="540" spans="1:6" x14ac:dyDescent="0.25">
      <c r="A540">
        <v>539</v>
      </c>
      <c r="B540">
        <f>IF('Журнал'!$E539="","",'Журнал'!$E539)</f>
      </c>
      <c r="C540">
        <f>IF('Журнал'!$B540="","",'План'!$B$6)</f>
      </c>
      <c r="D540">
        <f>IF('Журнал'!$B540="","",('Журнал'!$B540+'Журнал'!$C540)*'План'!$B$9)</f>
      </c>
      <c r="E540">
        <f>IF('Журнал'!$B540="","",'Журнал'!$B540+'Журнал'!$C540+'Журнал'!$D540)</f>
      </c>
      <c r="F540">
        <f>IF('Журнал'!$E540="","",MAX(0,'План'!$B$2-'Журнал'!$E540))</f>
      </c>
    </row>
    <row r="541" spans="1:6" x14ac:dyDescent="0.25">
      <c r="A541">
        <v>540</v>
      </c>
      <c r="B541">
        <f>IF('Журнал'!$E540="","",'Журнал'!$E540)</f>
      </c>
      <c r="C541">
        <f>IF('Журнал'!$B541="","",'План'!$B$6)</f>
      </c>
      <c r="D541">
        <f>IF('Журнал'!$B541="","",('Журнал'!$B541+'Журнал'!$C541)*'План'!$B$9)</f>
      </c>
      <c r="E541">
        <f>IF('Журнал'!$B541="","",'Журнал'!$B541+'Журнал'!$C541+'Журнал'!$D541)</f>
      </c>
      <c r="F541">
        <f>IF('Журнал'!$E541="","",MAX(0,'План'!$B$2-'Журнал'!$E541))</f>
      </c>
    </row>
    <row r="542" spans="1:6" x14ac:dyDescent="0.25">
      <c r="A542">
        <v>541</v>
      </c>
      <c r="B542">
        <f>IF('Журнал'!$E541="","",'Журнал'!$E541)</f>
      </c>
      <c r="C542">
        <f>IF('Журнал'!$B542="","",'План'!$B$6)</f>
      </c>
      <c r="D542">
        <f>IF('Журнал'!$B542="","",('Журнал'!$B542+'Журнал'!$C542)*'План'!$B$9)</f>
      </c>
      <c r="E542">
        <f>IF('Журнал'!$B542="","",'Журнал'!$B542+'Журнал'!$C542+'Журнал'!$D542)</f>
      </c>
      <c r="F542">
        <f>IF('Журнал'!$E542="","",MAX(0,'План'!$B$2-'Журнал'!$E542))</f>
      </c>
    </row>
    <row r="543" spans="1:6" x14ac:dyDescent="0.25">
      <c r="A543">
        <v>542</v>
      </c>
      <c r="B543">
        <f>IF('Журнал'!$E542="","",'Журнал'!$E542)</f>
      </c>
      <c r="C543">
        <f>IF('Журнал'!$B543="","",'План'!$B$6)</f>
      </c>
      <c r="D543">
        <f>IF('Журнал'!$B543="","",('Журнал'!$B543+'Журнал'!$C543)*'План'!$B$9)</f>
      </c>
      <c r="E543">
        <f>IF('Журнал'!$B543="","",'Журнал'!$B543+'Журнал'!$C543+'Журнал'!$D543)</f>
      </c>
      <c r="F543">
        <f>IF('Журнал'!$E543="","",MAX(0,'План'!$B$2-'Журнал'!$E543))</f>
      </c>
    </row>
    <row r="544" spans="1:6" x14ac:dyDescent="0.25">
      <c r="A544">
        <v>543</v>
      </c>
      <c r="B544">
        <f>IF('Журнал'!$E543="","",'Журнал'!$E543)</f>
      </c>
      <c r="C544">
        <f>IF('Журнал'!$B544="","",'План'!$B$6)</f>
      </c>
      <c r="D544">
        <f>IF('Журнал'!$B544="","",('Журнал'!$B544+'Журнал'!$C544)*'План'!$B$9)</f>
      </c>
      <c r="E544">
        <f>IF('Журнал'!$B544="","",'Журнал'!$B544+'Журнал'!$C544+'Журнал'!$D544)</f>
      </c>
      <c r="F544">
        <f>IF('Журнал'!$E544="","",MAX(0,'План'!$B$2-'Журнал'!$E544))</f>
      </c>
    </row>
    <row r="545" spans="1:6" x14ac:dyDescent="0.25">
      <c r="A545">
        <v>544</v>
      </c>
      <c r="B545">
        <f>IF('Журнал'!$E544="","",'Журнал'!$E544)</f>
      </c>
      <c r="C545">
        <f>IF('Журнал'!$B545="","",'План'!$B$6)</f>
      </c>
      <c r="D545">
        <f>IF('Журнал'!$B545="","",('Журнал'!$B545+'Журнал'!$C545)*'План'!$B$9)</f>
      </c>
      <c r="E545">
        <f>IF('Журнал'!$B545="","",'Журнал'!$B545+'Журнал'!$C545+'Журнал'!$D545)</f>
      </c>
      <c r="F545">
        <f>IF('Журнал'!$E545="","",MAX(0,'План'!$B$2-'Журнал'!$E545))</f>
      </c>
    </row>
    <row r="546" spans="1:6" x14ac:dyDescent="0.25">
      <c r="A546">
        <v>545</v>
      </c>
      <c r="B546">
        <f>IF('Журнал'!$E545="","",'Журнал'!$E545)</f>
      </c>
      <c r="C546">
        <f>IF('Журнал'!$B546="","",'План'!$B$6)</f>
      </c>
      <c r="D546">
        <f>IF('Журнал'!$B546="","",('Журнал'!$B546+'Журнал'!$C546)*'План'!$B$9)</f>
      </c>
      <c r="E546">
        <f>IF('Журнал'!$B546="","",'Журнал'!$B546+'Журнал'!$C546+'Журнал'!$D546)</f>
      </c>
      <c r="F546">
        <f>IF('Журнал'!$E546="","",MAX(0,'План'!$B$2-'Журнал'!$E546))</f>
      </c>
    </row>
    <row r="547" spans="1:6" x14ac:dyDescent="0.25">
      <c r="A547">
        <v>546</v>
      </c>
      <c r="B547">
        <f>IF('Журнал'!$E546="","",'Журнал'!$E546)</f>
      </c>
      <c r="C547">
        <f>IF('Журнал'!$B547="","",'План'!$B$6)</f>
      </c>
      <c r="D547">
        <f>IF('Журнал'!$B547="","",('Журнал'!$B547+'Журнал'!$C547)*'План'!$B$9)</f>
      </c>
      <c r="E547">
        <f>IF('Журнал'!$B547="","",'Журнал'!$B547+'Журнал'!$C547+'Журнал'!$D547)</f>
      </c>
      <c r="F547">
        <f>IF('Журнал'!$E547="","",MAX(0,'План'!$B$2-'Журнал'!$E547))</f>
      </c>
    </row>
    <row r="548" spans="1:6" x14ac:dyDescent="0.25">
      <c r="A548">
        <v>547</v>
      </c>
      <c r="B548">
        <f>IF('Журнал'!$E547="","",'Журнал'!$E547)</f>
      </c>
      <c r="C548">
        <f>IF('Журнал'!$B548="","",'План'!$B$6)</f>
      </c>
      <c r="D548">
        <f>IF('Журнал'!$B548="","",('Журнал'!$B548+'Журнал'!$C548)*'План'!$B$9)</f>
      </c>
      <c r="E548">
        <f>IF('Журнал'!$B548="","",'Журнал'!$B548+'Журнал'!$C548+'Журнал'!$D548)</f>
      </c>
      <c r="F548">
        <f>IF('Журнал'!$E548="","",MAX(0,'План'!$B$2-'Журнал'!$E548))</f>
      </c>
    </row>
    <row r="549" spans="1:6" x14ac:dyDescent="0.25">
      <c r="A549">
        <v>548</v>
      </c>
      <c r="B549">
        <f>IF('Журнал'!$E548="","",'Журнал'!$E548)</f>
      </c>
      <c r="C549">
        <f>IF('Журнал'!$B549="","",'План'!$B$6)</f>
      </c>
      <c r="D549">
        <f>IF('Журнал'!$B549="","",('Журнал'!$B549+'Журнал'!$C549)*'План'!$B$9)</f>
      </c>
      <c r="E549">
        <f>IF('Журнал'!$B549="","",'Журнал'!$B549+'Журнал'!$C549+'Журнал'!$D549)</f>
      </c>
      <c r="F549">
        <f>IF('Журнал'!$E549="","",MAX(0,'План'!$B$2-'Журнал'!$E549))</f>
      </c>
    </row>
    <row r="550" spans="1:6" x14ac:dyDescent="0.25">
      <c r="A550">
        <v>549</v>
      </c>
      <c r="B550">
        <f>IF('Журнал'!$E549="","",'Журнал'!$E549)</f>
      </c>
      <c r="C550">
        <f>IF('Журнал'!$B550="","",'План'!$B$6)</f>
      </c>
      <c r="D550">
        <f>IF('Журнал'!$B550="","",('Журнал'!$B550+'Журнал'!$C550)*'План'!$B$9)</f>
      </c>
      <c r="E550">
        <f>IF('Журнал'!$B550="","",'Журнал'!$B550+'Журнал'!$C550+'Журнал'!$D550)</f>
      </c>
      <c r="F550">
        <f>IF('Журнал'!$E550="","",MAX(0,'План'!$B$2-'Журнал'!$E550))</f>
      </c>
    </row>
    <row r="551" spans="1:6" x14ac:dyDescent="0.25">
      <c r="A551">
        <v>550</v>
      </c>
      <c r="B551">
        <f>IF('Журнал'!$E550="","",'Журнал'!$E550)</f>
      </c>
      <c r="C551">
        <f>IF('Журнал'!$B551="","",'План'!$B$6)</f>
      </c>
      <c r="D551">
        <f>IF('Журнал'!$B551="","",('Журнал'!$B551+'Журнал'!$C551)*'План'!$B$9)</f>
      </c>
      <c r="E551">
        <f>IF('Журнал'!$B551="","",'Журнал'!$B551+'Журнал'!$C551+'Журнал'!$D551)</f>
      </c>
      <c r="F551">
        <f>IF('Журнал'!$E551="","",MAX(0,'План'!$B$2-'Журнал'!$E551))</f>
      </c>
    </row>
    <row r="552" spans="1:6" x14ac:dyDescent="0.25">
      <c r="A552">
        <v>551</v>
      </c>
      <c r="B552">
        <f>IF('Журнал'!$E551="","",'Журнал'!$E551)</f>
      </c>
      <c r="C552">
        <f>IF('Журнал'!$B552="","",'План'!$B$6)</f>
      </c>
      <c r="D552">
        <f>IF('Журнал'!$B552="","",('Журнал'!$B552+'Журнал'!$C552)*'План'!$B$9)</f>
      </c>
      <c r="E552">
        <f>IF('Журнал'!$B552="","",'Журнал'!$B552+'Журнал'!$C552+'Журнал'!$D552)</f>
      </c>
      <c r="F552">
        <f>IF('Журнал'!$E552="","",MAX(0,'План'!$B$2-'Журнал'!$E552))</f>
      </c>
    </row>
    <row r="553" spans="1:6" x14ac:dyDescent="0.25">
      <c r="A553">
        <v>552</v>
      </c>
      <c r="B553">
        <f>IF('Журнал'!$E552="","",'Журнал'!$E552)</f>
      </c>
      <c r="C553">
        <f>IF('Журнал'!$B553="","",'План'!$B$6)</f>
      </c>
      <c r="D553">
        <f>IF('Журнал'!$B553="","",('Журнал'!$B553+'Журнал'!$C553)*'План'!$B$9)</f>
      </c>
      <c r="E553">
        <f>IF('Журнал'!$B553="","",'Журнал'!$B553+'Журнал'!$C553+'Журнал'!$D553)</f>
      </c>
      <c r="F553">
        <f>IF('Журнал'!$E553="","",MAX(0,'План'!$B$2-'Журнал'!$E553))</f>
      </c>
    </row>
    <row r="554" spans="1:6" x14ac:dyDescent="0.25">
      <c r="A554">
        <v>553</v>
      </c>
      <c r="B554">
        <f>IF('Журнал'!$E553="","",'Журнал'!$E553)</f>
      </c>
      <c r="C554">
        <f>IF('Журнал'!$B554="","",'План'!$B$6)</f>
      </c>
      <c r="D554">
        <f>IF('Журнал'!$B554="","",('Журнал'!$B554+'Журнал'!$C554)*'План'!$B$9)</f>
      </c>
      <c r="E554">
        <f>IF('Журнал'!$B554="","",'Журнал'!$B554+'Журнал'!$C554+'Журнал'!$D554)</f>
      </c>
      <c r="F554">
        <f>IF('Журнал'!$E554="","",MAX(0,'План'!$B$2-'Журнал'!$E554))</f>
      </c>
    </row>
    <row r="555" spans="1:6" x14ac:dyDescent="0.25">
      <c r="A555">
        <v>554</v>
      </c>
      <c r="B555">
        <f>IF('Журнал'!$E554="","",'Журнал'!$E554)</f>
      </c>
      <c r="C555">
        <f>IF('Журнал'!$B555="","",'План'!$B$6)</f>
      </c>
      <c r="D555">
        <f>IF('Журнал'!$B555="","",('Журнал'!$B555+'Журнал'!$C555)*'План'!$B$9)</f>
      </c>
      <c r="E555">
        <f>IF('Журнал'!$B555="","",'Журнал'!$B555+'Журнал'!$C555+'Журнал'!$D555)</f>
      </c>
      <c r="F555">
        <f>IF('Журнал'!$E555="","",MAX(0,'План'!$B$2-'Журнал'!$E555))</f>
      </c>
    </row>
    <row r="556" spans="1:6" x14ac:dyDescent="0.25">
      <c r="A556">
        <v>555</v>
      </c>
      <c r="B556">
        <f>IF('Журнал'!$E555="","",'Журнал'!$E555)</f>
      </c>
      <c r="C556">
        <f>IF('Журнал'!$B556="","",'План'!$B$6)</f>
      </c>
      <c r="D556">
        <f>IF('Журнал'!$B556="","",('Журнал'!$B556+'Журнал'!$C556)*'План'!$B$9)</f>
      </c>
      <c r="E556">
        <f>IF('Журнал'!$B556="","",'Журнал'!$B556+'Журнал'!$C556+'Журнал'!$D556)</f>
      </c>
      <c r="F556">
        <f>IF('Журнал'!$E556="","",MAX(0,'План'!$B$2-'Журнал'!$E556))</f>
      </c>
    </row>
    <row r="557" spans="1:6" x14ac:dyDescent="0.25">
      <c r="A557">
        <v>556</v>
      </c>
      <c r="B557">
        <f>IF('Журнал'!$E556="","",'Журнал'!$E556)</f>
      </c>
      <c r="C557">
        <f>IF('Журнал'!$B557="","",'План'!$B$6)</f>
      </c>
      <c r="D557">
        <f>IF('Журнал'!$B557="","",('Журнал'!$B557+'Журнал'!$C557)*'План'!$B$9)</f>
      </c>
      <c r="E557">
        <f>IF('Журнал'!$B557="","",'Журнал'!$B557+'Журнал'!$C557+'Журнал'!$D557)</f>
      </c>
      <c r="F557">
        <f>IF('Журнал'!$E557="","",MAX(0,'План'!$B$2-'Журнал'!$E557))</f>
      </c>
    </row>
    <row r="558" spans="1:6" x14ac:dyDescent="0.25">
      <c r="A558">
        <v>557</v>
      </c>
      <c r="B558">
        <f>IF('Журнал'!$E557="","",'Журнал'!$E557)</f>
      </c>
      <c r="C558">
        <f>IF('Журнал'!$B558="","",'План'!$B$6)</f>
      </c>
      <c r="D558">
        <f>IF('Журнал'!$B558="","",('Журнал'!$B558+'Журнал'!$C558)*'План'!$B$9)</f>
      </c>
      <c r="E558">
        <f>IF('Журнал'!$B558="","",'Журнал'!$B558+'Журнал'!$C558+'Журнал'!$D558)</f>
      </c>
      <c r="F558">
        <f>IF('Журнал'!$E558="","",MAX(0,'План'!$B$2-'Журнал'!$E558))</f>
      </c>
    </row>
    <row r="559" spans="1:6" x14ac:dyDescent="0.25">
      <c r="A559">
        <v>558</v>
      </c>
      <c r="B559">
        <f>IF('Журнал'!$E558="","",'Журнал'!$E558)</f>
      </c>
      <c r="C559">
        <f>IF('Журнал'!$B559="","",'План'!$B$6)</f>
      </c>
      <c r="D559">
        <f>IF('Журнал'!$B559="","",('Журнал'!$B559+'Журнал'!$C559)*'План'!$B$9)</f>
      </c>
      <c r="E559">
        <f>IF('Журнал'!$B559="","",'Журнал'!$B559+'Журнал'!$C559+'Журнал'!$D559)</f>
      </c>
      <c r="F559">
        <f>IF('Журнал'!$E559="","",MAX(0,'План'!$B$2-'Журнал'!$E559))</f>
      </c>
    </row>
    <row r="560" spans="1:6" x14ac:dyDescent="0.25">
      <c r="A560">
        <v>559</v>
      </c>
      <c r="B560">
        <f>IF('Журнал'!$E559="","",'Журнал'!$E559)</f>
      </c>
      <c r="C560">
        <f>IF('Журнал'!$B560="","",'План'!$B$6)</f>
      </c>
      <c r="D560">
        <f>IF('Журнал'!$B560="","",('Журнал'!$B560+'Журнал'!$C560)*'План'!$B$9)</f>
      </c>
      <c r="E560">
        <f>IF('Журнал'!$B560="","",'Журнал'!$B560+'Журнал'!$C560+'Журнал'!$D560)</f>
      </c>
      <c r="F560">
        <f>IF('Журнал'!$E560="","",MAX(0,'План'!$B$2-'Журнал'!$E560))</f>
      </c>
    </row>
    <row r="561" spans="1:6" x14ac:dyDescent="0.25">
      <c r="A561">
        <v>560</v>
      </c>
      <c r="B561">
        <f>IF('Журнал'!$E560="","",'Журнал'!$E560)</f>
      </c>
      <c r="C561">
        <f>IF('Журнал'!$B561="","",'План'!$B$6)</f>
      </c>
      <c r="D561">
        <f>IF('Журнал'!$B561="","",('Журнал'!$B561+'Журнал'!$C561)*'План'!$B$9)</f>
      </c>
      <c r="E561">
        <f>IF('Журнал'!$B561="","",'Журнал'!$B561+'Журнал'!$C561+'Журнал'!$D561)</f>
      </c>
      <c r="F561">
        <f>IF('Журнал'!$E561="","",MAX(0,'План'!$B$2-'Журнал'!$E561))</f>
      </c>
    </row>
    <row r="562" spans="1:6" x14ac:dyDescent="0.25">
      <c r="A562">
        <v>561</v>
      </c>
      <c r="B562">
        <f>IF('Журнал'!$E561="","",'Журнал'!$E561)</f>
      </c>
      <c r="C562">
        <f>IF('Журнал'!$B562="","",'План'!$B$6)</f>
      </c>
      <c r="D562">
        <f>IF('Журнал'!$B562="","",('Журнал'!$B562+'Журнал'!$C562)*'План'!$B$9)</f>
      </c>
      <c r="E562">
        <f>IF('Журнал'!$B562="","",'Журнал'!$B562+'Журнал'!$C562+'Журнал'!$D562)</f>
      </c>
      <c r="F562">
        <f>IF('Журнал'!$E562="","",MAX(0,'План'!$B$2-'Журнал'!$E562))</f>
      </c>
    </row>
    <row r="563" spans="1:6" x14ac:dyDescent="0.25">
      <c r="A563">
        <v>562</v>
      </c>
      <c r="B563">
        <f>IF('Журнал'!$E562="","",'Журнал'!$E562)</f>
      </c>
      <c r="C563">
        <f>IF('Журнал'!$B563="","",'План'!$B$6)</f>
      </c>
      <c r="D563">
        <f>IF('Журнал'!$B563="","",('Журнал'!$B563+'Журнал'!$C563)*'План'!$B$9)</f>
      </c>
      <c r="E563">
        <f>IF('Журнал'!$B563="","",'Журнал'!$B563+'Журнал'!$C563+'Журнал'!$D563)</f>
      </c>
      <c r="F563">
        <f>IF('Журнал'!$E563="","",MAX(0,'План'!$B$2-'Журнал'!$E563))</f>
      </c>
    </row>
    <row r="564" spans="1:6" x14ac:dyDescent="0.25">
      <c r="A564">
        <v>563</v>
      </c>
      <c r="B564">
        <f>IF('Журнал'!$E563="","",'Журнал'!$E563)</f>
      </c>
      <c r="C564">
        <f>IF('Журнал'!$B564="","",'План'!$B$6)</f>
      </c>
      <c r="D564">
        <f>IF('Журнал'!$B564="","",('Журнал'!$B564+'Журнал'!$C564)*'План'!$B$9)</f>
      </c>
      <c r="E564">
        <f>IF('Журнал'!$B564="","",'Журнал'!$B564+'Журнал'!$C564+'Журнал'!$D564)</f>
      </c>
      <c r="F564">
        <f>IF('Журнал'!$E564="","",MAX(0,'План'!$B$2-'Журнал'!$E564))</f>
      </c>
    </row>
    <row r="565" spans="1:6" x14ac:dyDescent="0.25">
      <c r="A565">
        <v>564</v>
      </c>
      <c r="B565">
        <f>IF('Журнал'!$E564="","",'Журнал'!$E564)</f>
      </c>
      <c r="C565">
        <f>IF('Журнал'!$B565="","",'План'!$B$6)</f>
      </c>
      <c r="D565">
        <f>IF('Журнал'!$B565="","",('Журнал'!$B565+'Журнал'!$C565)*'План'!$B$9)</f>
      </c>
      <c r="E565">
        <f>IF('Журнал'!$B565="","",'Журнал'!$B565+'Журнал'!$C565+'Журнал'!$D565)</f>
      </c>
      <c r="F565">
        <f>IF('Журнал'!$E565="","",MAX(0,'План'!$B$2-'Журнал'!$E565))</f>
      </c>
    </row>
    <row r="566" spans="1:6" x14ac:dyDescent="0.25">
      <c r="A566">
        <v>565</v>
      </c>
      <c r="B566">
        <f>IF('Журнал'!$E565="","",'Журнал'!$E565)</f>
      </c>
      <c r="C566">
        <f>IF('Журнал'!$B566="","",'План'!$B$6)</f>
      </c>
      <c r="D566">
        <f>IF('Журнал'!$B566="","",('Журнал'!$B566+'Журнал'!$C566)*'План'!$B$9)</f>
      </c>
      <c r="E566">
        <f>IF('Журнал'!$B566="","",'Журнал'!$B566+'Журнал'!$C566+'Журнал'!$D566)</f>
      </c>
      <c r="F566">
        <f>IF('Журнал'!$E566="","",MAX(0,'План'!$B$2-'Журнал'!$E566))</f>
      </c>
    </row>
    <row r="567" spans="1:6" x14ac:dyDescent="0.25">
      <c r="A567">
        <v>566</v>
      </c>
      <c r="B567">
        <f>IF('Журнал'!$E566="","",'Журнал'!$E566)</f>
      </c>
      <c r="C567">
        <f>IF('Журнал'!$B567="","",'План'!$B$6)</f>
      </c>
      <c r="D567">
        <f>IF('Журнал'!$B567="","",('Журнал'!$B567+'Журнал'!$C567)*'План'!$B$9)</f>
      </c>
      <c r="E567">
        <f>IF('Журнал'!$B567="","",'Журнал'!$B567+'Журнал'!$C567+'Журнал'!$D567)</f>
      </c>
      <c r="F567">
        <f>IF('Журнал'!$E567="","",MAX(0,'План'!$B$2-'Журнал'!$E567))</f>
      </c>
    </row>
    <row r="568" spans="1:6" x14ac:dyDescent="0.25">
      <c r="A568">
        <v>567</v>
      </c>
      <c r="B568">
        <f>IF('Журнал'!$E567="","",'Журнал'!$E567)</f>
      </c>
      <c r="C568">
        <f>IF('Журнал'!$B568="","",'План'!$B$6)</f>
      </c>
      <c r="D568">
        <f>IF('Журнал'!$B568="","",('Журнал'!$B568+'Журнал'!$C568)*'План'!$B$9)</f>
      </c>
      <c r="E568">
        <f>IF('Журнал'!$B568="","",'Журнал'!$B568+'Журнал'!$C568+'Журнал'!$D568)</f>
      </c>
      <c r="F568">
        <f>IF('Журнал'!$E568="","",MAX(0,'План'!$B$2-'Журнал'!$E568))</f>
      </c>
    </row>
    <row r="569" spans="1:6" x14ac:dyDescent="0.25">
      <c r="A569">
        <v>568</v>
      </c>
      <c r="B569">
        <f>IF('Журнал'!$E568="","",'Журнал'!$E568)</f>
      </c>
      <c r="C569">
        <f>IF('Журнал'!$B569="","",'План'!$B$6)</f>
      </c>
      <c r="D569">
        <f>IF('Журнал'!$B569="","",('Журнал'!$B569+'Журнал'!$C569)*'План'!$B$9)</f>
      </c>
      <c r="E569">
        <f>IF('Журнал'!$B569="","",'Журнал'!$B569+'Журнал'!$C569+'Журнал'!$D569)</f>
      </c>
      <c r="F569">
        <f>IF('Журнал'!$E569="","",MAX(0,'План'!$B$2-'Журнал'!$E569))</f>
      </c>
    </row>
    <row r="570" spans="1:6" x14ac:dyDescent="0.25">
      <c r="A570">
        <v>569</v>
      </c>
      <c r="B570">
        <f>IF('Журнал'!$E569="","",'Журнал'!$E569)</f>
      </c>
      <c r="C570">
        <f>IF('Журнал'!$B570="","",'План'!$B$6)</f>
      </c>
      <c r="D570">
        <f>IF('Журнал'!$B570="","",('Журнал'!$B570+'Журнал'!$C570)*'План'!$B$9)</f>
      </c>
      <c r="E570">
        <f>IF('Журнал'!$B570="","",'Журнал'!$B570+'Журнал'!$C570+'Журнал'!$D570)</f>
      </c>
      <c r="F570">
        <f>IF('Журнал'!$E570="","",MAX(0,'План'!$B$2-'Журнал'!$E570))</f>
      </c>
    </row>
    <row r="571" spans="1:6" x14ac:dyDescent="0.25">
      <c r="A571">
        <v>570</v>
      </c>
      <c r="B571">
        <f>IF('Журнал'!$E570="","",'Журнал'!$E570)</f>
      </c>
      <c r="C571">
        <f>IF('Журнал'!$B571="","",'План'!$B$6)</f>
      </c>
      <c r="D571">
        <f>IF('Журнал'!$B571="","",('Журнал'!$B571+'Журнал'!$C571)*'План'!$B$9)</f>
      </c>
      <c r="E571">
        <f>IF('Журнал'!$B571="","",'Журнал'!$B571+'Журнал'!$C571+'Журнал'!$D571)</f>
      </c>
      <c r="F571">
        <f>IF('Журнал'!$E571="","",MAX(0,'План'!$B$2-'Журнал'!$E571))</f>
      </c>
    </row>
    <row r="572" spans="1:6" x14ac:dyDescent="0.25">
      <c r="A572">
        <v>571</v>
      </c>
      <c r="B572">
        <f>IF('Журнал'!$E571="","",'Журнал'!$E571)</f>
      </c>
      <c r="C572">
        <f>IF('Журнал'!$B572="","",'План'!$B$6)</f>
      </c>
      <c r="D572">
        <f>IF('Журнал'!$B572="","",('Журнал'!$B572+'Журнал'!$C572)*'План'!$B$9)</f>
      </c>
      <c r="E572">
        <f>IF('Журнал'!$B572="","",'Журнал'!$B572+'Журнал'!$C572+'Журнал'!$D572)</f>
      </c>
      <c r="F572">
        <f>IF('Журнал'!$E572="","",MAX(0,'План'!$B$2-'Журнал'!$E572))</f>
      </c>
    </row>
    <row r="573" spans="1:6" x14ac:dyDescent="0.25">
      <c r="A573">
        <v>572</v>
      </c>
      <c r="B573">
        <f>IF('Журнал'!$E572="","",'Журнал'!$E572)</f>
      </c>
      <c r="C573">
        <f>IF('Журнал'!$B573="","",'План'!$B$6)</f>
      </c>
      <c r="D573">
        <f>IF('Журнал'!$B573="","",('Журнал'!$B573+'Журнал'!$C573)*'План'!$B$9)</f>
      </c>
      <c r="E573">
        <f>IF('Журнал'!$B573="","",'Журнал'!$B573+'Журнал'!$C573+'Журнал'!$D573)</f>
      </c>
      <c r="F573">
        <f>IF('Журнал'!$E573="","",MAX(0,'План'!$B$2-'Журнал'!$E573))</f>
      </c>
    </row>
    <row r="574" spans="1:6" x14ac:dyDescent="0.25">
      <c r="A574">
        <v>573</v>
      </c>
      <c r="B574">
        <f>IF('Журнал'!$E573="","",'Журнал'!$E573)</f>
      </c>
      <c r="C574">
        <f>IF('Журнал'!$B574="","",'План'!$B$6)</f>
      </c>
      <c r="D574">
        <f>IF('Журнал'!$B574="","",('Журнал'!$B574+'Журнал'!$C574)*'План'!$B$9)</f>
      </c>
      <c r="E574">
        <f>IF('Журнал'!$B574="","",'Журнал'!$B574+'Журнал'!$C574+'Журнал'!$D574)</f>
      </c>
      <c r="F574">
        <f>IF('Журнал'!$E574="","",MAX(0,'План'!$B$2-'Журнал'!$E574))</f>
      </c>
    </row>
    <row r="575" spans="1:6" x14ac:dyDescent="0.25">
      <c r="A575">
        <v>574</v>
      </c>
      <c r="B575">
        <f>IF('Журнал'!$E574="","",'Журнал'!$E574)</f>
      </c>
      <c r="C575">
        <f>IF('Журнал'!$B575="","",'План'!$B$6)</f>
      </c>
      <c r="D575">
        <f>IF('Журнал'!$B575="","",('Журнал'!$B575+'Журнал'!$C575)*'План'!$B$9)</f>
      </c>
      <c r="E575">
        <f>IF('Журнал'!$B575="","",'Журнал'!$B575+'Журнал'!$C575+'Журнал'!$D575)</f>
      </c>
      <c r="F575">
        <f>IF('Журнал'!$E575="","",MAX(0,'План'!$B$2-'Журнал'!$E575))</f>
      </c>
    </row>
    <row r="576" spans="1:6" x14ac:dyDescent="0.25">
      <c r="A576">
        <v>575</v>
      </c>
      <c r="B576">
        <f>IF('Журнал'!$E575="","",'Журнал'!$E575)</f>
      </c>
      <c r="C576">
        <f>IF('Журнал'!$B576="","",'План'!$B$6)</f>
      </c>
      <c r="D576">
        <f>IF('Журнал'!$B576="","",('Журнал'!$B576+'Журнал'!$C576)*'План'!$B$9)</f>
      </c>
      <c r="E576">
        <f>IF('Журнал'!$B576="","",'Журнал'!$B576+'Журнал'!$C576+'Журнал'!$D576)</f>
      </c>
      <c r="F576">
        <f>IF('Журнал'!$E576="","",MAX(0,'План'!$B$2-'Журнал'!$E576))</f>
      </c>
    </row>
    <row r="577" spans="1:6" x14ac:dyDescent="0.25">
      <c r="A577">
        <v>576</v>
      </c>
      <c r="B577">
        <f>IF('Журнал'!$E576="","",'Журнал'!$E576)</f>
      </c>
      <c r="C577">
        <f>IF('Журнал'!$B577="","",'План'!$B$6)</f>
      </c>
      <c r="D577">
        <f>IF('Журнал'!$B577="","",('Журнал'!$B577+'Журнал'!$C577)*'План'!$B$9)</f>
      </c>
      <c r="E577">
        <f>IF('Журнал'!$B577="","",'Журнал'!$B577+'Журнал'!$C577+'Журнал'!$D577)</f>
      </c>
      <c r="F577">
        <f>IF('Журнал'!$E577="","",MAX(0,'План'!$B$2-'Журнал'!$E577))</f>
      </c>
    </row>
    <row r="578" spans="1:6" x14ac:dyDescent="0.25">
      <c r="A578">
        <v>577</v>
      </c>
      <c r="B578">
        <f>IF('Журнал'!$E577="","",'Журнал'!$E577)</f>
      </c>
      <c r="C578">
        <f>IF('Журнал'!$B578="","",'План'!$B$6)</f>
      </c>
      <c r="D578">
        <f>IF('Журнал'!$B578="","",('Журнал'!$B578+'Журнал'!$C578)*'План'!$B$9)</f>
      </c>
      <c r="E578">
        <f>IF('Журнал'!$B578="","",'Журнал'!$B578+'Журнал'!$C578+'Журнал'!$D578)</f>
      </c>
      <c r="F578">
        <f>IF('Журнал'!$E578="","",MAX(0,'План'!$B$2-'Журнал'!$E578))</f>
      </c>
    </row>
    <row r="579" spans="1:6" x14ac:dyDescent="0.25">
      <c r="A579">
        <v>578</v>
      </c>
      <c r="B579">
        <f>IF('Журнал'!$E578="","",'Журнал'!$E578)</f>
      </c>
      <c r="C579">
        <f>IF('Журнал'!$B579="","",'План'!$B$6)</f>
      </c>
      <c r="D579">
        <f>IF('Журнал'!$B579="","",('Журнал'!$B579+'Журнал'!$C579)*'План'!$B$9)</f>
      </c>
      <c r="E579">
        <f>IF('Журнал'!$B579="","",'Журнал'!$B579+'Журнал'!$C579+'Журнал'!$D579)</f>
      </c>
      <c r="F579">
        <f>IF('Журнал'!$E579="","",MAX(0,'План'!$B$2-'Журнал'!$E579))</f>
      </c>
    </row>
    <row r="580" spans="1:6" x14ac:dyDescent="0.25">
      <c r="A580">
        <v>579</v>
      </c>
      <c r="B580">
        <f>IF('Журнал'!$E579="","",'Журнал'!$E579)</f>
      </c>
      <c r="C580">
        <f>IF('Журнал'!$B580="","",'План'!$B$6)</f>
      </c>
      <c r="D580">
        <f>IF('Журнал'!$B580="","",('Журнал'!$B580+'Журнал'!$C580)*'План'!$B$9)</f>
      </c>
      <c r="E580">
        <f>IF('Журнал'!$B580="","",'Журнал'!$B580+'Журнал'!$C580+'Журнал'!$D580)</f>
      </c>
      <c r="F580">
        <f>IF('Журнал'!$E580="","",MAX(0,'План'!$B$2-'Журнал'!$E580))</f>
      </c>
    </row>
    <row r="581" spans="1:6" x14ac:dyDescent="0.25">
      <c r="A581">
        <v>580</v>
      </c>
      <c r="B581">
        <f>IF('Журнал'!$E580="","",'Журнал'!$E580)</f>
      </c>
      <c r="C581">
        <f>IF('Журнал'!$B581="","",'План'!$B$6)</f>
      </c>
      <c r="D581">
        <f>IF('Журнал'!$B581="","",('Журнал'!$B581+'Журнал'!$C581)*'План'!$B$9)</f>
      </c>
      <c r="E581">
        <f>IF('Журнал'!$B581="","",'Журнал'!$B581+'Журнал'!$C581+'Журнал'!$D581)</f>
      </c>
      <c r="F581">
        <f>IF('Журнал'!$E581="","",MAX(0,'План'!$B$2-'Журнал'!$E581))</f>
      </c>
    </row>
    <row r="582" spans="1:6" x14ac:dyDescent="0.25">
      <c r="A582">
        <v>581</v>
      </c>
      <c r="B582">
        <f>IF('Журнал'!$E581="","",'Журнал'!$E581)</f>
      </c>
      <c r="C582">
        <f>IF('Журнал'!$B582="","",'План'!$B$6)</f>
      </c>
      <c r="D582">
        <f>IF('Журнал'!$B582="","",('Журнал'!$B582+'Журнал'!$C582)*'План'!$B$9)</f>
      </c>
      <c r="E582">
        <f>IF('Журнал'!$B582="","",'Журнал'!$B582+'Журнал'!$C582+'Журнал'!$D582)</f>
      </c>
      <c r="F582">
        <f>IF('Журнал'!$E582="","",MAX(0,'План'!$B$2-'Журнал'!$E582))</f>
      </c>
    </row>
    <row r="583" spans="1:6" x14ac:dyDescent="0.25">
      <c r="A583">
        <v>582</v>
      </c>
      <c r="B583">
        <f>IF('Журнал'!$E582="","",'Журнал'!$E582)</f>
      </c>
      <c r="C583">
        <f>IF('Журнал'!$B583="","",'План'!$B$6)</f>
      </c>
      <c r="D583">
        <f>IF('Журнал'!$B583="","",('Журнал'!$B583+'Журнал'!$C583)*'План'!$B$9)</f>
      </c>
      <c r="E583">
        <f>IF('Журнал'!$B583="","",'Журнал'!$B583+'Журнал'!$C583+'Журнал'!$D583)</f>
      </c>
      <c r="F583">
        <f>IF('Журнал'!$E583="","",MAX(0,'План'!$B$2-'Журнал'!$E583))</f>
      </c>
    </row>
    <row r="584" spans="1:6" x14ac:dyDescent="0.25">
      <c r="A584">
        <v>583</v>
      </c>
      <c r="B584">
        <f>IF('Журнал'!$E583="","",'Журнал'!$E583)</f>
      </c>
      <c r="C584">
        <f>IF('Журнал'!$B584="","",'План'!$B$6)</f>
      </c>
      <c r="D584">
        <f>IF('Журнал'!$B584="","",('Журнал'!$B584+'Журнал'!$C584)*'План'!$B$9)</f>
      </c>
      <c r="E584">
        <f>IF('Журнал'!$B584="","",'Журнал'!$B584+'Журнал'!$C584+'Журнал'!$D584)</f>
      </c>
      <c r="F584">
        <f>IF('Журнал'!$E584="","",MAX(0,'План'!$B$2-'Журнал'!$E584))</f>
      </c>
    </row>
    <row r="585" spans="1:6" x14ac:dyDescent="0.25">
      <c r="A585">
        <v>584</v>
      </c>
      <c r="B585">
        <f>IF('Журнал'!$E584="","",'Журнал'!$E584)</f>
      </c>
      <c r="C585">
        <f>IF('Журнал'!$B585="","",'План'!$B$6)</f>
      </c>
      <c r="D585">
        <f>IF('Журнал'!$B585="","",('Журнал'!$B585+'Журнал'!$C585)*'План'!$B$9)</f>
      </c>
      <c r="E585">
        <f>IF('Журнал'!$B585="","",'Журнал'!$B585+'Журнал'!$C585+'Журнал'!$D585)</f>
      </c>
      <c r="F585">
        <f>IF('Журнал'!$E585="","",MAX(0,'План'!$B$2-'Журнал'!$E585))</f>
      </c>
    </row>
    <row r="586" spans="1:6" x14ac:dyDescent="0.25">
      <c r="A586">
        <v>585</v>
      </c>
      <c r="B586">
        <f>IF('Журнал'!$E585="","",'Журнал'!$E585)</f>
      </c>
      <c r="C586">
        <f>IF('Журнал'!$B586="","",'План'!$B$6)</f>
      </c>
      <c r="D586">
        <f>IF('Журнал'!$B586="","",('Журнал'!$B586+'Журнал'!$C586)*'План'!$B$9)</f>
      </c>
      <c r="E586">
        <f>IF('Журнал'!$B586="","",'Журнал'!$B586+'Журнал'!$C586+'Журнал'!$D586)</f>
      </c>
      <c r="F586">
        <f>IF('Журнал'!$E586="","",MAX(0,'План'!$B$2-'Журнал'!$E586))</f>
      </c>
    </row>
    <row r="587" spans="1:6" x14ac:dyDescent="0.25">
      <c r="A587">
        <v>586</v>
      </c>
      <c r="B587">
        <f>IF('Журнал'!$E586="","",'Журнал'!$E586)</f>
      </c>
      <c r="C587">
        <f>IF('Журнал'!$B587="","",'План'!$B$6)</f>
      </c>
      <c r="D587">
        <f>IF('Журнал'!$B587="","",('Журнал'!$B587+'Журнал'!$C587)*'План'!$B$9)</f>
      </c>
      <c r="E587">
        <f>IF('Журнал'!$B587="","",'Журнал'!$B587+'Журнал'!$C587+'Журнал'!$D587)</f>
      </c>
      <c r="F587">
        <f>IF('Журнал'!$E587="","",MAX(0,'План'!$B$2-'Журнал'!$E587))</f>
      </c>
    </row>
    <row r="588" spans="1:6" x14ac:dyDescent="0.25">
      <c r="A588">
        <v>587</v>
      </c>
      <c r="B588">
        <f>IF('Журнал'!$E587="","",'Журнал'!$E587)</f>
      </c>
      <c r="C588">
        <f>IF('Журнал'!$B588="","",'План'!$B$6)</f>
      </c>
      <c r="D588">
        <f>IF('Журнал'!$B588="","",('Журнал'!$B588+'Журнал'!$C588)*'План'!$B$9)</f>
      </c>
      <c r="E588">
        <f>IF('Журнал'!$B588="","",'Журнал'!$B588+'Журнал'!$C588+'Журнал'!$D588)</f>
      </c>
      <c r="F588">
        <f>IF('Журнал'!$E588="","",MAX(0,'План'!$B$2-'Журнал'!$E588))</f>
      </c>
    </row>
    <row r="589" spans="1:6" x14ac:dyDescent="0.25">
      <c r="A589">
        <v>588</v>
      </c>
      <c r="B589">
        <f>IF('Журнал'!$E588="","",'Журнал'!$E588)</f>
      </c>
      <c r="C589">
        <f>IF('Журнал'!$B589="","",'План'!$B$6)</f>
      </c>
      <c r="D589">
        <f>IF('Журнал'!$B589="","",('Журнал'!$B589+'Журнал'!$C589)*'План'!$B$9)</f>
      </c>
      <c r="E589">
        <f>IF('Журнал'!$B589="","",'Журнал'!$B589+'Журнал'!$C589+'Журнал'!$D589)</f>
      </c>
      <c r="F589">
        <f>IF('Журнал'!$E589="","",MAX(0,'План'!$B$2-'Журнал'!$E589))</f>
      </c>
    </row>
    <row r="590" spans="1:6" x14ac:dyDescent="0.25">
      <c r="A590">
        <v>589</v>
      </c>
      <c r="B590">
        <f>IF('Журнал'!$E589="","",'Журнал'!$E589)</f>
      </c>
      <c r="C590">
        <f>IF('Журнал'!$B590="","",'План'!$B$6)</f>
      </c>
      <c r="D590">
        <f>IF('Журнал'!$B590="","",('Журнал'!$B590+'Журнал'!$C590)*'План'!$B$9)</f>
      </c>
      <c r="E590">
        <f>IF('Журнал'!$B590="","",'Журнал'!$B590+'Журнал'!$C590+'Журнал'!$D590)</f>
      </c>
      <c r="F590">
        <f>IF('Журнал'!$E590="","",MAX(0,'План'!$B$2-'Журнал'!$E590))</f>
      </c>
    </row>
    <row r="591" spans="1:6" x14ac:dyDescent="0.25">
      <c r="A591">
        <v>590</v>
      </c>
      <c r="B591">
        <f>IF('Журнал'!$E590="","",'Журнал'!$E590)</f>
      </c>
      <c r="C591">
        <f>IF('Журнал'!$B591="","",'План'!$B$6)</f>
      </c>
      <c r="D591">
        <f>IF('Журнал'!$B591="","",('Журнал'!$B591+'Журнал'!$C591)*'План'!$B$9)</f>
      </c>
      <c r="E591">
        <f>IF('Журнал'!$B591="","",'Журнал'!$B591+'Журнал'!$C591+'Журнал'!$D591)</f>
      </c>
      <c r="F591">
        <f>IF('Журнал'!$E591="","",MAX(0,'План'!$B$2-'Журнал'!$E591))</f>
      </c>
    </row>
    <row r="592" spans="1:6" x14ac:dyDescent="0.25">
      <c r="A592">
        <v>591</v>
      </c>
      <c r="B592">
        <f>IF('Журнал'!$E591="","",'Журнал'!$E591)</f>
      </c>
      <c r="C592">
        <f>IF('Журнал'!$B592="","",'План'!$B$6)</f>
      </c>
      <c r="D592">
        <f>IF('Журнал'!$B592="","",('Журнал'!$B592+'Журнал'!$C592)*'План'!$B$9)</f>
      </c>
      <c r="E592">
        <f>IF('Журнал'!$B592="","",'Журнал'!$B592+'Журнал'!$C592+'Журнал'!$D592)</f>
      </c>
      <c r="F592">
        <f>IF('Журнал'!$E592="","",MAX(0,'План'!$B$2-'Журнал'!$E592))</f>
      </c>
    </row>
    <row r="593" spans="1:6" x14ac:dyDescent="0.25">
      <c r="A593">
        <v>592</v>
      </c>
      <c r="B593">
        <f>IF('Журнал'!$E592="","",'Журнал'!$E592)</f>
      </c>
      <c r="C593">
        <f>IF('Журнал'!$B593="","",'План'!$B$6)</f>
      </c>
      <c r="D593">
        <f>IF('Журнал'!$B593="","",('Журнал'!$B593+'Журнал'!$C593)*'План'!$B$9)</f>
      </c>
      <c r="E593">
        <f>IF('Журнал'!$B593="","",'Журнал'!$B593+'Журнал'!$C593+'Журнал'!$D593)</f>
      </c>
      <c r="F593">
        <f>IF('Журнал'!$E593="","",MAX(0,'План'!$B$2-'Журнал'!$E593))</f>
      </c>
    </row>
    <row r="594" spans="1:6" x14ac:dyDescent="0.25">
      <c r="A594">
        <v>593</v>
      </c>
      <c r="B594">
        <f>IF('Журнал'!$E593="","",'Журнал'!$E593)</f>
      </c>
      <c r="C594">
        <f>IF('Журнал'!$B594="","",'План'!$B$6)</f>
      </c>
      <c r="D594">
        <f>IF('Журнал'!$B594="","",('Журнал'!$B594+'Журнал'!$C594)*'План'!$B$9)</f>
      </c>
      <c r="E594">
        <f>IF('Журнал'!$B594="","",'Журнал'!$B594+'Журнал'!$C594+'Журнал'!$D594)</f>
      </c>
      <c r="F594">
        <f>IF('Журнал'!$E594="","",MAX(0,'План'!$B$2-'Журнал'!$E594))</f>
      </c>
    </row>
    <row r="595" spans="1:6" x14ac:dyDescent="0.25">
      <c r="A595">
        <v>594</v>
      </c>
      <c r="B595">
        <f>IF('Журнал'!$E594="","",'Журнал'!$E594)</f>
      </c>
      <c r="C595">
        <f>IF('Журнал'!$B595="","",'План'!$B$6)</f>
      </c>
      <c r="D595">
        <f>IF('Журнал'!$B595="","",('Журнал'!$B595+'Журнал'!$C595)*'План'!$B$9)</f>
      </c>
      <c r="E595">
        <f>IF('Журнал'!$B595="","",'Журнал'!$B595+'Журнал'!$C595+'Журнал'!$D595)</f>
      </c>
      <c r="F595">
        <f>IF('Журнал'!$E595="","",MAX(0,'План'!$B$2-'Журнал'!$E595))</f>
      </c>
    </row>
    <row r="596" spans="1:6" x14ac:dyDescent="0.25">
      <c r="A596">
        <v>595</v>
      </c>
      <c r="B596">
        <f>IF('Журнал'!$E595="","",'Журнал'!$E595)</f>
      </c>
      <c r="C596">
        <f>IF('Журнал'!$B596="","",'План'!$B$6)</f>
      </c>
      <c r="D596">
        <f>IF('Журнал'!$B596="","",('Журнал'!$B596+'Журнал'!$C596)*'План'!$B$9)</f>
      </c>
      <c r="E596">
        <f>IF('Журнал'!$B596="","",'Журнал'!$B596+'Журнал'!$C596+'Журнал'!$D596)</f>
      </c>
      <c r="F596">
        <f>IF('Журнал'!$E596="","",MAX(0,'План'!$B$2-'Журнал'!$E596))</f>
      </c>
    </row>
    <row r="597" spans="1:6" x14ac:dyDescent="0.25">
      <c r="A597">
        <v>596</v>
      </c>
      <c r="B597">
        <f>IF('Журнал'!$E596="","",'Журнал'!$E596)</f>
      </c>
      <c r="C597">
        <f>IF('Журнал'!$B597="","",'План'!$B$6)</f>
      </c>
      <c r="D597">
        <f>IF('Журнал'!$B597="","",('Журнал'!$B597+'Журнал'!$C597)*'План'!$B$9)</f>
      </c>
      <c r="E597">
        <f>IF('Журнал'!$B597="","",'Журнал'!$B597+'Журнал'!$C597+'Журнал'!$D597)</f>
      </c>
      <c r="F597">
        <f>IF('Журнал'!$E597="","",MAX(0,'План'!$B$2-'Журнал'!$E597))</f>
      </c>
    </row>
    <row r="598" spans="1:6" x14ac:dyDescent="0.25">
      <c r="A598">
        <v>597</v>
      </c>
      <c r="B598">
        <f>IF('Журнал'!$E597="","",'Журнал'!$E597)</f>
      </c>
      <c r="C598">
        <f>IF('Журнал'!$B598="","",'План'!$B$6)</f>
      </c>
      <c r="D598">
        <f>IF('Журнал'!$B598="","",('Журнал'!$B598+'Журнал'!$C598)*'План'!$B$9)</f>
      </c>
      <c r="E598">
        <f>IF('Журнал'!$B598="","",'Журнал'!$B598+'Журнал'!$C598+'Журнал'!$D598)</f>
      </c>
      <c r="F598">
        <f>IF('Журнал'!$E598="","",MAX(0,'План'!$B$2-'Журнал'!$E598))</f>
      </c>
    </row>
    <row r="599" spans="1:6" x14ac:dyDescent="0.25">
      <c r="A599">
        <v>598</v>
      </c>
      <c r="B599">
        <f>IF('Журнал'!$E598="","",'Журнал'!$E598)</f>
      </c>
      <c r="C599">
        <f>IF('Журнал'!$B599="","",'План'!$B$6)</f>
      </c>
      <c r="D599">
        <f>IF('Журнал'!$B599="","",('Журнал'!$B599+'Журнал'!$C599)*'План'!$B$9)</f>
      </c>
      <c r="E599">
        <f>IF('Журнал'!$B599="","",'Журнал'!$B599+'Журнал'!$C599+'Журнал'!$D599)</f>
      </c>
      <c r="F599">
        <f>IF('Журнал'!$E599="","",MAX(0,'План'!$B$2-'Журнал'!$E599))</f>
      </c>
    </row>
    <row r="600" spans="1:6" x14ac:dyDescent="0.25">
      <c r="A600">
        <v>599</v>
      </c>
      <c r="B600">
        <f>IF('Журнал'!$E599="","",'Журнал'!$E599)</f>
      </c>
      <c r="C600">
        <f>IF('Журнал'!$B600="","",'План'!$B$6)</f>
      </c>
      <c r="D600">
        <f>IF('Журнал'!$B600="","",('Журнал'!$B600+'Журнал'!$C600)*'План'!$B$9)</f>
      </c>
      <c r="E600">
        <f>IF('Журнал'!$B600="","",'Журнал'!$B600+'Журнал'!$C600+'Журнал'!$D600)</f>
      </c>
      <c r="F600">
        <f>IF('Журнал'!$E600="","",MAX(0,'План'!$B$2-'Журнал'!$E600))</f>
      </c>
    </row>
    <row r="601" spans="1:6" x14ac:dyDescent="0.25">
      <c r="A601">
        <v>600</v>
      </c>
      <c r="B601">
        <f>IF('Журнал'!$E600="","",'Журнал'!$E600)</f>
      </c>
      <c r="C601">
        <f>IF('Журнал'!$B601="","",'План'!$B$6)</f>
      </c>
      <c r="D601">
        <f>IF('Журнал'!$B601="","",('Журнал'!$B601+'Журнал'!$C601)*'План'!$B$9)</f>
      </c>
      <c r="E601">
        <f>IF('Журнал'!$B601="","",'Журнал'!$B601+'Журнал'!$C601+'Журнал'!$D601)</f>
      </c>
      <c r="F601">
        <f>IF('Журнал'!$E601="","",MAX(0,'План'!$B$2-'Журнал'!$E601))</f>
      </c>
    </row>
  </sheetData>
  <conditionalFormatting sqref="F:F">
    <cfRule type="expression" dxfId="0" priority="1">
      <formula>0="[object Object]"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showGridLines="0"/>
  </sheetViews>
  <sheetFormatPr defaultRowHeight="15" outlineLevelRow="0" outlineLevelCol="0" x14ac:dyDescent="55"/>
  <cols>
    <col min="1" max="2" width="18" customWidth="1"/>
    <col min="3" max="3" width="22" customWidth="1"/>
  </cols>
  <sheetData>
    <row r="1" spans="1:3" x14ac:dyDescent="0.25">
      <c r="A1" t="s">
        <v>25</v>
      </c>
      <c r="B1" t="s">
        <v>26</v>
      </c>
      <c r="C1" t="s">
        <v>8</v>
      </c>
    </row>
    <row r="2" spans="1:3" x14ac:dyDescent="0.25">
      <c r="A2" t="s">
        <v>27</v>
      </c>
      <c r="B2" t="s">
        <v>28</v>
      </c>
      <c r="C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Сводка</vt:lpstr>
      <vt:lpstr>План</vt:lpstr>
      <vt:lpstr>Журнал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2026-09-19T19:44:31Z</dcterms:created>
  <dcterms:modified xsi:type="dcterms:W3CDTF">2026-09-19T19:44:31Z</dcterms:modified>
</cp:coreProperties>
</file>